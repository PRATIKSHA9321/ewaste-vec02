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corecard" sheetId="1" state="visible" r:id="rId3"/>
    <sheet name="1_Generation_Inventory" sheetId="2" state="visible" r:id="rId4"/>
    <sheet name="2_Collection_Log" sheetId="3" state="visible" r:id="rId5"/>
    <sheet name="3_Recycling_Infrastructure" sheetId="4" state="visible" r:id="rId6"/>
    <sheet name="4_Compliance_Tracker" sheetId="5" state="visible" r:id="rId7"/>
    <sheet name="5_Informal_Sector_Hotspots" sheetId="6" state="visible" r:id="rId8"/>
    <sheet name="6_Env_Health_Monitoring" sheetId="7" state="visible" r:id="rId9"/>
    <sheet name="7_Awareness_Progra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<sst xmlns="http://schemas.openxmlformats.org/spreadsheetml/2006/main" count="417" uniqueCount="269">
  <si>
    <t xml:space="preserve">State E-Waste Management Scorecard</t>
  </si>
  <si>
    <t xml:space="preserve">Illustrative SAMPLE scorecard — live score out of 100, calculated from the 7 data sheets. Set benchmarks in the yellow 'Benchmark/Target' cells.</t>
  </si>
  <si>
    <t xml:space="preserve">STATE SCORE</t>
  </si>
  <si>
    <t xml:space="preserve">#</t>
  </si>
  <si>
    <t xml:space="preserve">Category</t>
  </si>
  <si>
    <t xml:space="preserve">Weight</t>
  </si>
  <si>
    <t xml:space="preserve">Benchmark / Target</t>
  </si>
  <si>
    <t xml:space="preserve">Achieved Value</t>
  </si>
  <si>
    <t xml:space="preserve">Achievement %</t>
  </si>
  <si>
    <t xml:space="preserve">Score Earned</t>
  </si>
  <si>
    <t xml:space="preserve">Generation &amp; Inventory</t>
  </si>
  <si>
    <t xml:space="preserve">Collection Performance</t>
  </si>
  <si>
    <t xml:space="preserve">Formal Recycling &amp; Treatment</t>
  </si>
  <si>
    <t xml:space="preserve">Regulatory Compliance</t>
  </si>
  <si>
    <t xml:space="preserve">Informal Sector Integration</t>
  </si>
  <si>
    <t xml:space="preserve">Environmental &amp; Health Safeguards</t>
  </si>
  <si>
    <t xml:space="preserve">Awareness &amp; Outreach</t>
  </si>
  <si>
    <t xml:space="preserve">TOTAL SCORE</t>
  </si>
  <si>
    <t xml:space="preserve">Score Bands:</t>
  </si>
  <si>
    <t xml:space="preserve">85-100</t>
  </si>
  <si>
    <t xml:space="preserve">Excellent</t>
  </si>
  <si>
    <t xml:space="preserve">65-84</t>
  </si>
  <si>
    <t xml:space="preserve">Good</t>
  </si>
  <si>
    <t xml:space="preserve">45-64</t>
  </si>
  <si>
    <t xml:space="preserve">Needs Improvement</t>
  </si>
  <si>
    <t xml:space="preserve">0-44</t>
  </si>
  <si>
    <t xml:space="preserve">Critical</t>
  </si>
  <si>
    <t xml:space="preserve">Generation Inventory</t>
  </si>
  <si>
    <t xml:space="preserve">Illustrative SAMPLE data only — not official CPCB/SPCB figures. One row per district. Category-wise breakup based on E-Waste (Management) Rules, 2022, Schedule I (simplified).</t>
  </si>
  <si>
    <t xml:space="preserve">District</t>
  </si>
  <si>
    <t xml:space="preserve">Population</t>
  </si>
  <si>
    <t xml:space="preserve">IT &amp; Telecom (kg)</t>
  </si>
  <si>
    <t xml:space="preserve">Consumer Electrical &amp;
Electronics (kg)</t>
  </si>
  <si>
    <t xml:space="preserve">Large &amp; Small
Equipment (kg)</t>
  </si>
  <si>
    <t xml:space="preserve">Lighting Equipment
(kg)</t>
  </si>
  <si>
    <t xml:space="preserve">Batteries (kg)</t>
  </si>
  <si>
    <t xml:space="preserve">Other (kg)</t>
  </si>
  <si>
    <t xml:space="preserve">Total Generated (kg)</t>
  </si>
  <si>
    <t xml:space="preserve">Date Last Updated</t>
  </si>
  <si>
    <t xml:space="preserve">Dehradun</t>
  </si>
  <si>
    <t xml:space="preserve">30-06-2026</t>
  </si>
  <si>
    <t xml:space="preserve">Haridwar</t>
  </si>
  <si>
    <t xml:space="preserve">Udham Singh Nagar</t>
  </si>
  <si>
    <t xml:space="preserve">Nainital</t>
  </si>
  <si>
    <t xml:space="preserve">Almora</t>
  </si>
  <si>
    <t xml:space="preserve">Pauri Garhwal</t>
  </si>
  <si>
    <t xml:space="preserve">Tehri Garhwal</t>
  </si>
  <si>
    <t xml:space="preserve">Uttarkashi</t>
  </si>
  <si>
    <t xml:space="preserve">Pithoragarh</t>
  </si>
  <si>
    <t xml:space="preserve">Chamoli</t>
  </si>
  <si>
    <t xml:space="preserve">Champawat</t>
  </si>
  <si>
    <t xml:space="preserve">Bageshwar</t>
  </si>
  <si>
    <t xml:space="preserve">Rudraprayag</t>
  </si>
  <si>
    <t xml:space="preserve">STATE TOTAL</t>
  </si>
  <si>
    <t xml:space="preserve">Collection Log</t>
  </si>
  <si>
    <t xml:space="preserve">Illustrative SAMPLE data only — not official CPCB / Uttarakhand SPCB figures. One row per district. 'Generated' would normally auto-pull from Sheet 1 by district name — keep district names identical across sheets.</t>
  </si>
  <si>
    <t xml:space="preserve">Generated (kg)
[from Sheet 1]</t>
  </si>
  <si>
    <t xml:space="preserve">Collected (kg)</t>
  </si>
  <si>
    <t xml:space="preserve">Registered Collection
Centers</t>
  </si>
  <si>
    <t xml:space="preserve">EPR Collection
Target (kg)</t>
  </si>
  <si>
    <t xml:space="preserve">EPR Collection
Achieved (kg)</t>
  </si>
  <si>
    <t xml:space="preserve">Remarks</t>
  </si>
  <si>
    <t xml:space="preserve">Capital district; highest generation, formal + informal mix</t>
  </si>
  <si>
    <t xml:space="preserve">Industrial belt; strong informal recycler presence</t>
  </si>
  <si>
    <t xml:space="preserve">Growing urban centers; EPR uptake improving</t>
  </si>
  <si>
    <t xml:space="preserve">Tourism-linked institutional waste; formal collection via authorized centers</t>
  </si>
  <si>
    <t xml:space="preserve">Hilly terrain limits collection logistics</t>
  </si>
  <si>
    <t xml:space="preserve">Scattered rural population; limited registered centers</t>
  </si>
  <si>
    <t xml:space="preserve">Reservoir-region logistics constraints</t>
  </si>
  <si>
    <t xml:space="preserve">Remote hill district; lowest infrastructure density</t>
  </si>
  <si>
    <t xml:space="preserve">Border district; seasonal accessibility issues</t>
  </si>
  <si>
    <t xml:space="preserve">Pilgrimage-season waste spikes</t>
  </si>
  <si>
    <t xml:space="preserve">Smallest urban base in state</t>
  </si>
  <si>
    <t xml:space="preserve">Very limited formal recycler access</t>
  </si>
  <si>
    <t xml:space="preserve">Smallest district; minimal registered infrastructure</t>
  </si>
  <si>
    <t xml:space="preserve">Recycling Infrastructure</t>
  </si>
  <si>
    <t xml:space="preserve">Illustrative SAMPLE data only — not official CPCB/SPCB records. One row per CPCB/SPCB-authorized recycler or dismantler operating in the state.</t>
  </si>
  <si>
    <t xml:space="preserve">Recycler / Dismantler Name</t>
  </si>
  <si>
    <t xml:space="preserve">CPCB/SPCB Authorization No.</t>
  </si>
  <si>
    <t xml:space="preserve">Installed Capacity
(tonnes/yr)</t>
  </si>
  <si>
    <t xml:space="preserve">Quantity Processed
This Year (tonnes)</t>
  </si>
  <si>
    <t xml:space="preserve">Material Recovery
Rate (%)</t>
  </si>
  <si>
    <t xml:space="preserve">Authorization
Valid Till</t>
  </si>
  <si>
    <t xml:space="preserve">GreenTech E-Waste Recyclers Pvt. Ltd.</t>
  </si>
  <si>
    <t xml:space="preserve">CPCB/EWM/2019/UK-1234</t>
  </si>
  <si>
    <t xml:space="preserve">31-03-2027</t>
  </si>
  <si>
    <t xml:space="preserve">Doon Valley Dismantlers Pvt. Ltd.</t>
  </si>
  <si>
    <t xml:space="preserve">CPCB/EWM/2020/UK-1587</t>
  </si>
  <si>
    <t xml:space="preserve">Ganga Recyclers &amp; Refiners Pvt. Ltd.</t>
  </si>
  <si>
    <t xml:space="preserve">SPCB/UK/EWM/2018/0456</t>
  </si>
  <si>
    <t xml:space="preserve">31-12-2026</t>
  </si>
  <si>
    <t xml:space="preserve">Haridwar Metal Recovery Co.</t>
  </si>
  <si>
    <t xml:space="preserve">CPCB/EWM/2021/UK-2210</t>
  </si>
  <si>
    <t xml:space="preserve">31-03-2028</t>
  </si>
  <si>
    <t xml:space="preserve">Terai E-Waste Solutions Pvt. Ltd.</t>
  </si>
  <si>
    <t xml:space="preserve">SPCB/UK/EWM/2019/0812</t>
  </si>
  <si>
    <t xml:space="preserve">30-09-2026</t>
  </si>
  <si>
    <t xml:space="preserve">Kumaon Green Recyclers Pvt. Ltd.</t>
  </si>
  <si>
    <t xml:space="preserve">CPCB/EWM/2020/UK-1899</t>
  </si>
  <si>
    <t xml:space="preserve">Himalaya Circular Systems Pvt. Ltd.</t>
  </si>
  <si>
    <t xml:space="preserve">SPCB/UK/EWM/2022/1023</t>
  </si>
  <si>
    <t xml:space="preserve">31-12-2027</t>
  </si>
  <si>
    <t xml:space="preserve">Rishikesh E-Scrap Processors</t>
  </si>
  <si>
    <t xml:space="preserve">CPCB/EWM/2021/UK-2065</t>
  </si>
  <si>
    <t xml:space="preserve">30-06-2027</t>
  </si>
  <si>
    <t xml:space="preserve">Bhagirathi Recyclers Pvt. Ltd.</t>
  </si>
  <si>
    <t xml:space="preserve">SPCB/UK/EWM/2020/0734</t>
  </si>
  <si>
    <t xml:space="preserve">31-03-2026</t>
  </si>
  <si>
    <t xml:space="preserve">Sarovar Metals &amp; Recovery Pvt. Ltd.</t>
  </si>
  <si>
    <t xml:space="preserve">CPCB/EWM/2022/UK-2477</t>
  </si>
  <si>
    <t xml:space="preserve">Compliance Tracker</t>
  </si>
  <si>
    <t xml:space="preserve">Illustrative SAMPLE data only — not official CPCB/SPCB records. One row per registered producer / EPR entity operating in the state.</t>
  </si>
  <si>
    <t xml:space="preserve">Producer / EPR Entity</t>
  </si>
  <si>
    <t xml:space="preserve">EPR Registration No.</t>
  </si>
  <si>
    <t xml:space="preserve">Compliance Status</t>
  </si>
  <si>
    <t xml:space="preserve">Inspection Planned
(Y/N)</t>
  </si>
  <si>
    <t xml:space="preserve">Inspection Conducted
(Y/N)</t>
  </si>
  <si>
    <t xml:space="preserve">Penalty / Show-Cause
Issued (Y/N)</t>
  </si>
  <si>
    <t xml:space="preserve">Penalty Resolved
(Y/N)</t>
  </si>
  <si>
    <t xml:space="preserve">Sunrise Electronics Ltd.</t>
  </si>
  <si>
    <t xml:space="preserve">EPR/2023R/UK-100456</t>
  </si>
  <si>
    <t xml:space="preserve">Compliant</t>
  </si>
  <si>
    <t xml:space="preserve">Yes</t>
  </si>
  <si>
    <t xml:space="preserve">No</t>
  </si>
  <si>
    <t xml:space="preserve">N/A</t>
  </si>
  <si>
    <t xml:space="preserve">Annual EPR target met (32/50 tonnes)</t>
  </si>
  <si>
    <t xml:space="preserve">Himshakti Appliances Pvt. Ltd.</t>
  </si>
  <si>
    <t xml:space="preserve">EPR/2022R/UK-098221</t>
  </si>
  <si>
    <t xml:space="preserve">Target met via certificate purchase</t>
  </si>
  <si>
    <t xml:space="preserve">Doon Devices Pvt. Ltd.</t>
  </si>
  <si>
    <t xml:space="preserve">EPR/2024R/UK-104782</t>
  </si>
  <si>
    <t xml:space="preserve">Partially Compliant</t>
  </si>
  <si>
    <t xml:space="preserve">Show-cause issued; 60% of target achieved</t>
  </si>
  <si>
    <t xml:space="preserve">Kumaon Gadgets Ltd.</t>
  </si>
  <si>
    <t xml:space="preserve">EPR/2021R/UK-087320</t>
  </si>
  <si>
    <t xml:space="preserve">Inspection deferred to next quarter</t>
  </si>
  <si>
    <t xml:space="preserve">Terai Home Systems Pvt. Ltd.</t>
  </si>
  <si>
    <t xml:space="preserve">EPR/2023R/UK-101190</t>
  </si>
  <si>
    <t xml:space="preserve">Non-Compliant</t>
  </si>
  <si>
    <t xml:space="preserve">Below 40% of EPR target; penalty under review</t>
  </si>
  <si>
    <t xml:space="preserve">Ganga Consumer Tech Ltd.</t>
  </si>
  <si>
    <t xml:space="preserve">EPR/2022R/UK-096004</t>
  </si>
  <si>
    <t xml:space="preserve">Target exceeded (55/50 tonnes)</t>
  </si>
  <si>
    <t xml:space="preserve">Rishikesh Electricals Pvt. Ltd.</t>
  </si>
  <si>
    <t xml:space="preserve">EPR/2024R/UK-105511</t>
  </si>
  <si>
    <t xml:space="preserve">Under Review</t>
  </si>
  <si>
    <t xml:space="preserve">New registration; first inspection pending</t>
  </si>
  <si>
    <t xml:space="preserve">Bhagirathi Electronics Ltd.</t>
  </si>
  <si>
    <t xml:space="preserve">EPR/2020R/UK-076643</t>
  </si>
  <si>
    <t xml:space="preserve">Consistent 3-year compliance record</t>
  </si>
  <si>
    <t xml:space="preserve">Nanda Devi Appliances Pvt. Ltd.</t>
  </si>
  <si>
    <t xml:space="preserve">EPR/2023R/UK-102938</t>
  </si>
  <si>
    <t xml:space="preserve">Penalty resolved after corrective plan</t>
  </si>
  <si>
    <t xml:space="preserve">Vasundhara Tech Industries Ltd.</t>
  </si>
  <si>
    <t xml:space="preserve">EPR/2021R/UK-089457</t>
  </si>
  <si>
    <t xml:space="preserve">Target met (41/40 tonnes)</t>
  </si>
  <si>
    <t xml:space="preserve">Total Registered</t>
  </si>
  <si>
    <t xml:space="preserve">Inspections Planned</t>
  </si>
  <si>
    <t xml:space="preserve">Inspections Conducted</t>
  </si>
  <si>
    <t xml:space="preserve">Penalties Issued</t>
  </si>
  <si>
    <t xml:space="preserve">Penalties Resolved</t>
  </si>
  <si>
    <t xml:space="preserve">Informal Sector Hotspots</t>
  </si>
  <si>
    <t xml:space="preserve">Illustrative SAMPLE data only — not official SPCB records. One row per known informal e-waste recycling hotspot/cluster in the state.</t>
  </si>
  <si>
    <t xml:space="preserve">Hotspot / Informal Cluster Name</t>
  </si>
  <si>
    <t xml:space="preserve">Status</t>
  </si>
  <si>
    <t xml:space="preserve">Estimated Informal Workers</t>
  </si>
  <si>
    <t xml:space="preserve">Workers Registered /
Trained</t>
  </si>
  <si>
    <t xml:space="preserve">Formalization Action Taken</t>
  </si>
  <si>
    <t xml:space="preserve">Patel Nagar Scrap Yard</t>
  </si>
  <si>
    <t xml:space="preserve">Partially Formalized</t>
  </si>
  <si>
    <t xml:space="preserve">Registered as authorized collection point; 35 workers trained under skill program</t>
  </si>
  <si>
    <t xml:space="preserve">Remediation ongoing</t>
  </si>
  <si>
    <t xml:space="preserve">Roorkee Scrap Market</t>
  </si>
  <si>
    <t xml:space="preserve">Informal</t>
  </si>
  <si>
    <t xml:space="preserve">Awareness drive conducted; formalization pending</t>
  </si>
  <si>
    <t xml:space="preserve">High cluster density near industrial belt</t>
  </si>
  <si>
    <t xml:space="preserve">Kashipur Scrap Cluster</t>
  </si>
  <si>
    <t xml:space="preserve">Collection center license issued to lead trader</t>
  </si>
  <si>
    <t xml:space="preserve">Monitoring quarterly</t>
  </si>
  <si>
    <t xml:space="preserve">Haldwani Old Bazaar Yard</t>
  </si>
  <si>
    <t xml:space="preserve">Initial survey completed; formalization plan drafted</t>
  </si>
  <si>
    <t xml:space="preserve">Awaiting SPCB approval</t>
  </si>
  <si>
    <t xml:space="preserve">Rudrapur Industrial Scrap Belt</t>
  </si>
  <si>
    <t xml:space="preserve">Formalized</t>
  </si>
  <si>
    <t xml:space="preserve">Fully registered collection center; all workers trained</t>
  </si>
  <si>
    <t xml:space="preserve">Model formalization site</t>
  </si>
  <si>
    <t xml:space="preserve">Vikasnagar Scrap Point</t>
  </si>
  <si>
    <t xml:space="preserve">Preliminary mapping done</t>
  </si>
  <si>
    <t xml:space="preserve">Low awareness among workers</t>
  </si>
  <si>
    <t xml:space="preserve">Jwalapur Recycling Lane</t>
  </si>
  <si>
    <t xml:space="preserve">Skill training conducted; registration in process</t>
  </si>
  <si>
    <t xml:space="preserve">Follow-up inspection scheduled</t>
  </si>
  <si>
    <t xml:space="preserve">Ramnagar Scrap Cluster</t>
  </si>
  <si>
    <t xml:space="preserve">Baseline survey conducted</t>
  </si>
  <si>
    <t xml:space="preserve">Seasonal tourism-linked waste</t>
  </si>
  <si>
    <t xml:space="preserve">Total Hotspots</t>
  </si>
  <si>
    <t xml:space="preserve">Formalized/Remediated</t>
  </si>
  <si>
    <t xml:space="preserve">Estimated Workers (Total)</t>
  </si>
  <si>
    <t xml:space="preserve">Workers Registered/Trained (Total)</t>
  </si>
  <si>
    <t xml:space="preserve">Env Health Monitoring</t>
  </si>
  <si>
    <t xml:space="preserve">Illustrative SAMPLE data only — not official SPCB/health department records. One row per environmental monitoring visit or health camp conducted at a hotspot.</t>
  </si>
  <si>
    <t xml:space="preserve">Site / Hotspot Monitored</t>
  </si>
  <si>
    <t xml:space="preserve">Monitoring Type</t>
  </si>
  <si>
    <t xml:space="preserve">Date</t>
  </si>
  <si>
    <t xml:space="preserve">Result</t>
  </si>
  <si>
    <t xml:space="preserve">Health Camp Conducted
(Y/N)</t>
  </si>
  <si>
    <t xml:space="preserve">Beneficiaries Screened</t>
  </si>
  <si>
    <t xml:space="preserve">Soil + Water</t>
  </si>
  <si>
    <t xml:space="preserve">10-05-2026</t>
  </si>
  <si>
    <t xml:space="preserve">Exceeds limit (Pb, Cd)</t>
  </si>
  <si>
    <t xml:space="preserve">Follow-up remediation plan submitted to SPCB</t>
  </si>
  <si>
    <t xml:space="preserve">Air Quality</t>
  </si>
  <si>
    <t xml:space="preserve">22-04-2026</t>
  </si>
  <si>
    <t xml:space="preserve">Within limit</t>
  </si>
  <si>
    <t xml:space="preserve">Routine screening; no acute cases found</t>
  </si>
  <si>
    <t xml:space="preserve">Soil</t>
  </si>
  <si>
    <t xml:space="preserve">15-03-2026</t>
  </si>
  <si>
    <t xml:space="preserve">Exceeds limit (Pb)</t>
  </si>
  <si>
    <t xml:space="preserve">Blood-lead screening recommended follow-up</t>
  </si>
  <si>
    <t xml:space="preserve">Water</t>
  </si>
  <si>
    <t xml:space="preserve">02-06-2026</t>
  </si>
  <si>
    <t xml:space="preserve">Health camp not yet scheduled</t>
  </si>
  <si>
    <t xml:space="preserve">18-02-2026</t>
  </si>
  <si>
    <t xml:space="preserve">Model site; no significant contamination</t>
  </si>
  <si>
    <t xml:space="preserve">05-06-2026</t>
  </si>
  <si>
    <t xml:space="preserve">Exceeds limit (particulate)</t>
  </si>
  <si>
    <t xml:space="preserve">Respiratory screening camp conducted</t>
  </si>
  <si>
    <t xml:space="preserve">28-01-2026</t>
  </si>
  <si>
    <t xml:space="preserve">Initial survey only</t>
  </si>
  <si>
    <t xml:space="preserve">Distinct Sites Monitored</t>
  </si>
  <si>
    <t xml:space="preserve">Health Camps Conducted</t>
  </si>
  <si>
    <t xml:space="preserve">Total Beneficiaries Screened</t>
  </si>
  <si>
    <t xml:space="preserve">Awareness Programs</t>
  </si>
  <si>
    <t xml:space="preserve">Illustrative SAMPLE data only. One row per awareness campaign, take-back scheme promotion, or collection drive conducted.</t>
  </si>
  <si>
    <t xml:space="preserve">Program Name</t>
  </si>
  <si>
    <t xml:space="preserve">Type</t>
  </si>
  <si>
    <t xml:space="preserve">Target Audience</t>
  </si>
  <si>
    <t xml:space="preserve">Participants Reached</t>
  </si>
  <si>
    <t xml:space="preserve">E-Waste Awareness Drive – Schools</t>
  </si>
  <si>
    <t xml:space="preserve">18-04-2026</t>
  </si>
  <si>
    <t xml:space="preserve">School Collection Drive</t>
  </si>
  <si>
    <t xml:space="preserve">Students, Grades 6-10</t>
  </si>
  <si>
    <t xml:space="preserve">Haridwar Kumbh Cleanup &amp; Awareness</t>
  </si>
  <si>
    <t xml:space="preserve">05-02-2026</t>
  </si>
  <si>
    <t xml:space="preserve">Public Campaign</t>
  </si>
  <si>
    <t xml:space="preserve">General Public</t>
  </si>
  <si>
    <t xml:space="preserve">RWA Take-Back Scheme Promotion</t>
  </si>
  <si>
    <t xml:space="preserve">10-03-2026</t>
  </si>
  <si>
    <t xml:space="preserve">RWA Collection Drive</t>
  </si>
  <si>
    <t xml:space="preserve">Residents</t>
  </si>
  <si>
    <t xml:space="preserve">College E-Waste Pledge Campaign</t>
  </si>
  <si>
    <t xml:space="preserve">22-01-2026</t>
  </si>
  <si>
    <t xml:space="preserve">Institutional Drive</t>
  </si>
  <si>
    <t xml:space="preserve">College Students</t>
  </si>
  <si>
    <t xml:space="preserve">Rural Outreach – Hill Districts</t>
  </si>
  <si>
    <t xml:space="preserve">14-05-2026</t>
  </si>
  <si>
    <t xml:space="preserve">Community Workshop</t>
  </si>
  <si>
    <t xml:space="preserve">Village Communities</t>
  </si>
  <si>
    <t xml:space="preserve">Retailer Take-Back Training</t>
  </si>
  <si>
    <t xml:space="preserve">30-05-2026</t>
  </si>
  <si>
    <t xml:space="preserve">Retailer Sensitization</t>
  </si>
  <si>
    <t xml:space="preserve">Local Retailers</t>
  </si>
  <si>
    <t xml:space="preserve">Uttarkashi School Collection Drive</t>
  </si>
  <si>
    <t xml:space="preserve">12-06-2026</t>
  </si>
  <si>
    <t xml:space="preserve">Digital India Week E-Waste Booth</t>
  </si>
  <si>
    <t xml:space="preserve">25-02-2026</t>
  </si>
  <si>
    <t xml:space="preserve">Total Programs Conducted</t>
  </si>
  <si>
    <t xml:space="preserve">Collection Drives (School+RWA)</t>
  </si>
  <si>
    <t xml:space="preserve">Total Participants Reached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</si>
</sst>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0.0%"/>
    <numFmt numFmtId="168" formatCode="0%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5" t="n">
        <f aca="false">H17</f>
        <v>73.1767010758109</v>
      </c>
      <c r="E5" s="5"/>
      <c r="F5" s="6" t="str">
        <f aca="false">IF(H17&gt;=85,"EXCELLENT",IF(H17&gt;=65,"GOOD",IF(H17&gt;=45,"NEEDS IMPROVEMENT","CRITICAL")))</f>
        <v>GOOD</v>
      </c>
      <c r="G5" s="6"/>
      <c r="H5" s="6"/>
    </row>
    <row r="6" customFormat="false" ht="15" hidden="false" customHeight="true" outlineLevel="0" collapsed="false">
      <c r="B6" s="4"/>
      <c r="C6" s="4"/>
      <c r="D6" s="5"/>
      <c r="E6" s="5"/>
      <c r="F6" s="6"/>
      <c r="G6" s="6"/>
      <c r="H6" s="6"/>
    </row>
    <row r="7" customFormat="false" ht="15" hidden="false" customHeight="true" outlineLevel="0" collapsed="false">
      <c r="B7" s="4"/>
      <c r="C7" s="4"/>
      <c r="D7" s="5"/>
      <c r="E7" s="5"/>
      <c r="F7" s="6"/>
      <c r="G7" s="6"/>
      <c r="H7" s="6"/>
    </row>
    <row r="9" customFormat="false" ht="25.5" hidden="false" customHeight="true" outlineLevel="0" collapsed="false"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</row>
    <row r="10" customFormat="false" ht="15" hidden="false" customHeight="true" outlineLevel="0" collapsed="false">
      <c r="B10" s="8" t="n">
        <v>1</v>
      </c>
      <c r="C10" s="9" t="s">
        <v>10</v>
      </c>
      <c r="D10" s="10" t="n">
        <v>15</v>
      </c>
      <c r="E10" s="11" t="n">
        <v>13</v>
      </c>
      <c r="F10" s="12" t="n">
        <f aca="false">COUNTA(1_Generation_Inventory!B6:B18)</f>
        <v>13</v>
      </c>
      <c r="G10" s="13" t="n">
        <f aca="false">MIN(F10/E10,1)</f>
        <v>1</v>
      </c>
      <c r="H10" s="14" t="n">
        <f aca="false">D10*G10</f>
        <v>15</v>
      </c>
    </row>
    <row r="11" customFormat="false" ht="15" hidden="false" customHeight="true" outlineLevel="0" collapsed="false">
      <c r="B11" s="8" t="n">
        <v>2</v>
      </c>
      <c r="C11" s="9" t="s">
        <v>11</v>
      </c>
      <c r="D11" s="10" t="n">
        <v>20</v>
      </c>
      <c r="E11" s="15" t="n">
        <v>1</v>
      </c>
      <c r="F11" s="13" t="n">
        <f aca="false">2_Collection_Log!D23/2_Collection_Log!C23</f>
        <v>0.434124629080119</v>
      </c>
      <c r="G11" s="13" t="n">
        <f aca="false">MIN(F11/E11,1)</f>
        <v>0.434124629080119</v>
      </c>
      <c r="H11" s="14" t="n">
        <f aca="false">D11*G11</f>
        <v>8.68249258160237</v>
      </c>
    </row>
    <row r="12" customFormat="false" ht="15" hidden="false" customHeight="true" outlineLevel="0" collapsed="false">
      <c r="B12" s="8" t="n">
        <v>3</v>
      </c>
      <c r="C12" s="9" t="s">
        <v>12</v>
      </c>
      <c r="D12" s="10" t="n">
        <v>20</v>
      </c>
      <c r="E12" s="15" t="n">
        <v>1</v>
      </c>
      <c r="F12" s="13" t="n">
        <f aca="false">(3_Recycling_Infrastructure!F20*1000)/2_Collection_Log!D23</f>
        <v>11.1414900888585</v>
      </c>
      <c r="G12" s="13" t="n">
        <f aca="false">MIN(F12/E12,1)</f>
        <v>1</v>
      </c>
      <c r="H12" s="14" t="n">
        <f aca="false">D12*G12</f>
        <v>20</v>
      </c>
    </row>
    <row r="13" customFormat="false" ht="15" hidden="false" customHeight="true" outlineLevel="0" collapsed="false">
      <c r="B13" s="8" t="n">
        <v>4</v>
      </c>
      <c r="C13" s="9" t="s">
        <v>13</v>
      </c>
      <c r="D13" s="10" t="n">
        <v>15</v>
      </c>
      <c r="E13" s="15" t="n">
        <v>1</v>
      </c>
      <c r="F13" s="13" t="n">
        <f aca="false">4_Compliance_Tracker!C20/4_Compliance_Tracker!C24</f>
        <v>0.6</v>
      </c>
      <c r="G13" s="13" t="n">
        <f aca="false">MIN(F13/E13,1)</f>
        <v>0.6</v>
      </c>
      <c r="H13" s="14" t="n">
        <f aca="false">D13*G13</f>
        <v>9</v>
      </c>
    </row>
    <row r="14" customFormat="false" ht="15" hidden="false" customHeight="true" outlineLevel="0" collapsed="false">
      <c r="B14" s="8" t="n">
        <v>5</v>
      </c>
      <c r="C14" s="9" t="s">
        <v>14</v>
      </c>
      <c r="D14" s="10" t="n">
        <v>10</v>
      </c>
      <c r="E14" s="15" t="n">
        <v>1</v>
      </c>
      <c r="F14" s="13" t="n">
        <f aca="false">5_Informal_Sector_Hotspots!C21/5_Informal_Sector_Hotspots!C20</f>
        <v>0.335135135135135</v>
      </c>
      <c r="G14" s="13" t="n">
        <f aca="false">MIN(F14/E14,1)</f>
        <v>0.335135135135135</v>
      </c>
      <c r="H14" s="14" t="n">
        <f aca="false">D14*G14</f>
        <v>3.35135135135135</v>
      </c>
    </row>
    <row r="15" customFormat="false" ht="15" hidden="false" customHeight="true" outlineLevel="0" collapsed="false">
      <c r="B15" s="8" t="n">
        <v>6</v>
      </c>
      <c r="C15" s="9" t="s">
        <v>15</v>
      </c>
      <c r="D15" s="10" t="n">
        <v>10</v>
      </c>
      <c r="E15" s="15" t="n">
        <v>1</v>
      </c>
      <c r="F15" s="13" t="n">
        <f aca="false">6_Env_Health_Monitoring!C18/6_Env_Health_Monitoring!C17</f>
        <v>0.714285714285714</v>
      </c>
      <c r="G15" s="13" t="n">
        <f aca="false">MIN(F15/E15,1)</f>
        <v>0.714285714285714</v>
      </c>
      <c r="H15" s="14" t="n">
        <f aca="false">D15*G15</f>
        <v>7.14285714285714</v>
      </c>
    </row>
    <row r="16" customFormat="false" ht="15" hidden="false" customHeight="true" outlineLevel="0" collapsed="false">
      <c r="B16" s="8" t="n">
        <v>7</v>
      </c>
      <c r="C16" s="9" t="s">
        <v>16</v>
      </c>
      <c r="D16" s="10" t="n">
        <v>10</v>
      </c>
      <c r="E16" s="11" t="n">
        <v>5000</v>
      </c>
      <c r="F16" s="12" t="n">
        <f aca="false">7_Awareness_Programs!C20</f>
        <v>8175</v>
      </c>
      <c r="G16" s="13" t="n">
        <f aca="false">MIN(F16/E16,1)</f>
        <v>1</v>
      </c>
      <c r="H16" s="14" t="n">
        <f aca="false">D16*G16</f>
        <v>10</v>
      </c>
    </row>
    <row r="17" customFormat="false" ht="15" hidden="false" customHeight="true" outlineLevel="0" collapsed="false">
      <c r="B17" s="16" t="s">
        <v>17</v>
      </c>
      <c r="C17" s="16"/>
      <c r="D17" s="17" t="n">
        <f aca="false">SUM(D10:D16)</f>
        <v>100</v>
      </c>
      <c r="E17" s="18"/>
      <c r="F17" s="18"/>
      <c r="G17" s="18"/>
      <c r="H17" s="19" t="n">
        <f aca="false">SUM(H10:H16)</f>
        <v>73.1767010758109</v>
      </c>
    </row>
    <row r="19" customFormat="false" ht="15" hidden="false" customHeight="true" outlineLevel="0" collapsed="false">
      <c r="B19" s="20" t="s">
        <v>18</v>
      </c>
    </row>
    <row r="20" customFormat="false" ht="15" hidden="false" customHeight="true" outlineLevel="0" collapsed="false">
      <c r="B20" s="21" t="s">
        <v>19</v>
      </c>
      <c r="C20" s="21" t="s">
        <v>20</v>
      </c>
    </row>
    <row r="21" customFormat="false" ht="15" hidden="false" customHeight="true" outlineLevel="0" collapsed="false">
      <c r="B21" s="21" t="s">
        <v>21</v>
      </c>
      <c r="C21" s="21" t="s">
        <v>22</v>
      </c>
    </row>
    <row r="22" customFormat="false" ht="15" hidden="false" customHeight="true" outlineLevel="0" collapsed="false">
      <c r="B22" s="21" t="s">
        <v>23</v>
      </c>
      <c r="C22" s="21" t="s">
        <v>24</v>
      </c>
    </row>
    <row r="23" customFormat="false" ht="15" hidden="false" customHeight="true" outlineLevel="0" collapsed="false">
      <c r="B23" s="21" t="s">
        <v>25</v>
      </c>
      <c r="C23" s="21" t="s">
        <v>26</v>
      </c>
    </row>
  </sheetData>
  <mergeCells count="6">
    <mergeCell ref="B2:H2"/>
    <mergeCell ref="B3:H3"/>
    <mergeCell ref="B5:C7"/>
    <mergeCell ref="D5:E7"/>
    <mergeCell ref="F5:H7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16"/>
  </cols>
  <sheetData>
    <row r="2" customFormat="false" ht="24" hidden="false" customHeight="true" outlineLevel="0" collapsed="false">
      <c r="B2" s="2" t="s">
        <v>27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B3" s="3" t="s">
        <v>28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36</v>
      </c>
      <c r="J5" s="7" t="s">
        <v>37</v>
      </c>
      <c r="K5" s="7" t="s">
        <v>38</v>
      </c>
    </row>
    <row r="6" customFormat="false" ht="15" hidden="false" customHeight="true" outlineLevel="0" collapsed="false">
      <c r="B6" s="22" t="s">
        <v>39</v>
      </c>
      <c r="C6" s="23" t="n">
        <v>1700000</v>
      </c>
      <c r="D6" s="23" t="n">
        <v>450000</v>
      </c>
      <c r="E6" s="23" t="n">
        <v>225000</v>
      </c>
      <c r="F6" s="23" t="n">
        <v>150000</v>
      </c>
      <c r="G6" s="23" t="n">
        <v>37500</v>
      </c>
      <c r="H6" s="23" t="n">
        <v>62500</v>
      </c>
      <c r="I6" s="23" t="n">
        <v>25000</v>
      </c>
      <c r="J6" s="23" t="n">
        <f aca="false">SUM(D6:I6)</f>
        <v>950000</v>
      </c>
      <c r="K6" s="22" t="s">
        <v>40</v>
      </c>
    </row>
    <row r="7" customFormat="false" ht="15" hidden="false" customHeight="true" outlineLevel="0" collapsed="false">
      <c r="B7" s="22" t="s">
        <v>41</v>
      </c>
      <c r="C7" s="23" t="n">
        <v>1890000</v>
      </c>
      <c r="D7" s="23" t="n">
        <v>340000</v>
      </c>
      <c r="E7" s="23" t="n">
        <v>170000</v>
      </c>
      <c r="F7" s="23" t="n">
        <v>114000</v>
      </c>
      <c r="G7" s="23" t="n">
        <v>28000</v>
      </c>
      <c r="H7" s="23" t="n">
        <v>48000</v>
      </c>
      <c r="I7" s="23" t="n">
        <v>20000</v>
      </c>
      <c r="J7" s="23" t="n">
        <f aca="false">SUM(D7:I7)</f>
        <v>720000</v>
      </c>
      <c r="K7" s="22" t="s">
        <v>40</v>
      </c>
    </row>
    <row r="8" customFormat="false" ht="15" hidden="false" customHeight="true" outlineLevel="0" collapsed="false">
      <c r="B8" s="22" t="s">
        <v>42</v>
      </c>
      <c r="C8" s="23" t="n">
        <v>1650000</v>
      </c>
      <c r="D8" s="23" t="n">
        <v>227000</v>
      </c>
      <c r="E8" s="23" t="n">
        <v>114000</v>
      </c>
      <c r="F8" s="23" t="n">
        <v>76000</v>
      </c>
      <c r="G8" s="23" t="n">
        <v>19000</v>
      </c>
      <c r="H8" s="23" t="n">
        <v>31000</v>
      </c>
      <c r="I8" s="23" t="n">
        <v>13000</v>
      </c>
      <c r="J8" s="23" t="n">
        <f aca="false">SUM(D8:I8)</f>
        <v>480000</v>
      </c>
      <c r="K8" s="22" t="s">
        <v>40</v>
      </c>
    </row>
    <row r="9" customFormat="false" ht="15" hidden="false" customHeight="true" outlineLevel="0" collapsed="false">
      <c r="B9" s="22" t="s">
        <v>43</v>
      </c>
      <c r="C9" s="23" t="n">
        <v>954000</v>
      </c>
      <c r="D9" s="23" t="n">
        <v>180000</v>
      </c>
      <c r="E9" s="23" t="n">
        <v>90000</v>
      </c>
      <c r="F9" s="23" t="n">
        <v>60000</v>
      </c>
      <c r="G9" s="23" t="n">
        <v>15000</v>
      </c>
      <c r="H9" s="23" t="n">
        <v>25000</v>
      </c>
      <c r="I9" s="23" t="n">
        <v>10000</v>
      </c>
      <c r="J9" s="23" t="n">
        <f aca="false">SUM(D9:I9)</f>
        <v>380000</v>
      </c>
      <c r="K9" s="22" t="s">
        <v>40</v>
      </c>
    </row>
    <row r="10" customFormat="false" ht="15" hidden="false" customHeight="true" outlineLevel="0" collapsed="false">
      <c r="B10" s="22" t="s">
        <v>44</v>
      </c>
      <c r="C10" s="23" t="n">
        <v>622000</v>
      </c>
      <c r="D10" s="23" t="n">
        <v>71000</v>
      </c>
      <c r="E10" s="23" t="n">
        <v>35500</v>
      </c>
      <c r="F10" s="23" t="n">
        <v>23500</v>
      </c>
      <c r="G10" s="23" t="n">
        <v>6000</v>
      </c>
      <c r="H10" s="23" t="n">
        <v>9500</v>
      </c>
      <c r="I10" s="23" t="n">
        <v>4500</v>
      </c>
      <c r="J10" s="23" t="n">
        <f aca="false">SUM(D10:I10)</f>
        <v>150000</v>
      </c>
      <c r="K10" s="22" t="s">
        <v>40</v>
      </c>
    </row>
    <row r="11" customFormat="false" ht="15" hidden="false" customHeight="true" outlineLevel="0" collapsed="false">
      <c r="B11" s="22" t="s">
        <v>45</v>
      </c>
      <c r="C11" s="23" t="n">
        <v>687000</v>
      </c>
      <c r="D11" s="23" t="n">
        <v>66000</v>
      </c>
      <c r="E11" s="23" t="n">
        <v>33000</v>
      </c>
      <c r="F11" s="23" t="n">
        <v>22000</v>
      </c>
      <c r="G11" s="23" t="n">
        <v>5500</v>
      </c>
      <c r="H11" s="23" t="n">
        <v>9000</v>
      </c>
      <c r="I11" s="23" t="n">
        <v>4500</v>
      </c>
      <c r="J11" s="23" t="n">
        <f aca="false">SUM(D11:I11)</f>
        <v>140000</v>
      </c>
      <c r="K11" s="22" t="s">
        <v>40</v>
      </c>
    </row>
    <row r="12" customFormat="false" ht="15" hidden="false" customHeight="true" outlineLevel="0" collapsed="false">
      <c r="B12" s="22" t="s">
        <v>46</v>
      </c>
      <c r="C12" s="23" t="n">
        <v>618000</v>
      </c>
      <c r="D12" s="23" t="n">
        <v>61500</v>
      </c>
      <c r="E12" s="23" t="n">
        <v>30500</v>
      </c>
      <c r="F12" s="23" t="n">
        <v>20500</v>
      </c>
      <c r="G12" s="23" t="n">
        <v>5000</v>
      </c>
      <c r="H12" s="23" t="n">
        <v>8500</v>
      </c>
      <c r="I12" s="23" t="n">
        <v>4000</v>
      </c>
      <c r="J12" s="23" t="n">
        <f aca="false">SUM(D12:I12)</f>
        <v>130000</v>
      </c>
      <c r="K12" s="22" t="s">
        <v>40</v>
      </c>
    </row>
    <row r="13" customFormat="false" ht="15" hidden="false" customHeight="true" outlineLevel="0" collapsed="false">
      <c r="B13" s="22" t="s">
        <v>47</v>
      </c>
      <c r="C13" s="23" t="n">
        <v>330000</v>
      </c>
      <c r="D13" s="23" t="n">
        <v>40000</v>
      </c>
      <c r="E13" s="23" t="n">
        <v>20000</v>
      </c>
      <c r="F13" s="23" t="n">
        <v>13500</v>
      </c>
      <c r="G13" s="23" t="n">
        <v>3500</v>
      </c>
      <c r="H13" s="23" t="n">
        <v>5500</v>
      </c>
      <c r="I13" s="23" t="n">
        <v>2500</v>
      </c>
      <c r="J13" s="23" t="n">
        <f aca="false">SUM(D13:I13)</f>
        <v>85000</v>
      </c>
      <c r="K13" s="22" t="s">
        <v>40</v>
      </c>
    </row>
    <row r="14" customFormat="false" ht="15" hidden="false" customHeight="true" outlineLevel="0" collapsed="false">
      <c r="B14" s="22" t="s">
        <v>48</v>
      </c>
      <c r="C14" s="23" t="n">
        <v>483000</v>
      </c>
      <c r="D14" s="23" t="n">
        <v>45000</v>
      </c>
      <c r="E14" s="23" t="n">
        <v>22500</v>
      </c>
      <c r="F14" s="23" t="n">
        <v>15000</v>
      </c>
      <c r="G14" s="23" t="n">
        <v>3800</v>
      </c>
      <c r="H14" s="23" t="n">
        <v>6200</v>
      </c>
      <c r="I14" s="23" t="n">
        <v>2500</v>
      </c>
      <c r="J14" s="23" t="n">
        <f aca="false">SUM(D14:I14)</f>
        <v>95000</v>
      </c>
      <c r="K14" s="22" t="s">
        <v>40</v>
      </c>
    </row>
    <row r="15" customFormat="false" ht="15" hidden="false" customHeight="true" outlineLevel="0" collapsed="false">
      <c r="B15" s="22" t="s">
        <v>49</v>
      </c>
      <c r="C15" s="23" t="n">
        <v>391000</v>
      </c>
      <c r="D15" s="23" t="n">
        <v>42500</v>
      </c>
      <c r="E15" s="23" t="n">
        <v>21500</v>
      </c>
      <c r="F15" s="23" t="n">
        <v>14000</v>
      </c>
      <c r="G15" s="23" t="n">
        <v>3500</v>
      </c>
      <c r="H15" s="23" t="n">
        <v>6000</v>
      </c>
      <c r="I15" s="23" t="n">
        <v>2500</v>
      </c>
      <c r="J15" s="23" t="n">
        <f aca="false">SUM(D15:I15)</f>
        <v>90000</v>
      </c>
      <c r="K15" s="22" t="s">
        <v>40</v>
      </c>
    </row>
    <row r="16" customFormat="false" ht="15" hidden="false" customHeight="true" outlineLevel="0" collapsed="false">
      <c r="B16" s="22" t="s">
        <v>50</v>
      </c>
      <c r="C16" s="23" t="n">
        <v>259000</v>
      </c>
      <c r="D16" s="23" t="n">
        <v>26000</v>
      </c>
      <c r="E16" s="23" t="n">
        <v>13000</v>
      </c>
      <c r="F16" s="23" t="n">
        <v>8500</v>
      </c>
      <c r="G16" s="23" t="n">
        <v>2200</v>
      </c>
      <c r="H16" s="23" t="n">
        <v>3800</v>
      </c>
      <c r="I16" s="23" t="n">
        <v>1500</v>
      </c>
      <c r="J16" s="23" t="n">
        <f aca="false">SUM(D16:I16)</f>
        <v>55000</v>
      </c>
      <c r="K16" s="22" t="s">
        <v>40</v>
      </c>
    </row>
    <row r="17" customFormat="false" ht="15" hidden="false" customHeight="true" outlineLevel="0" collapsed="false">
      <c r="B17" s="22" t="s">
        <v>51</v>
      </c>
      <c r="C17" s="23" t="n">
        <v>249000</v>
      </c>
      <c r="D17" s="23" t="n">
        <v>23500</v>
      </c>
      <c r="E17" s="23" t="n">
        <v>12000</v>
      </c>
      <c r="F17" s="23" t="n">
        <v>7800</v>
      </c>
      <c r="G17" s="23" t="n">
        <v>2000</v>
      </c>
      <c r="H17" s="23" t="n">
        <v>3400</v>
      </c>
      <c r="I17" s="23" t="n">
        <v>1300</v>
      </c>
      <c r="J17" s="23" t="n">
        <f aca="false">SUM(D17:I17)</f>
        <v>50000</v>
      </c>
      <c r="K17" s="22" t="s">
        <v>40</v>
      </c>
    </row>
    <row r="18" customFormat="false" ht="15" hidden="false" customHeight="true" outlineLevel="0" collapsed="false">
      <c r="B18" s="22" t="s">
        <v>52</v>
      </c>
      <c r="C18" s="23" t="n">
        <v>242000</v>
      </c>
      <c r="D18" s="23" t="n">
        <v>21000</v>
      </c>
      <c r="E18" s="23" t="n">
        <v>10800</v>
      </c>
      <c r="F18" s="23" t="n">
        <v>7000</v>
      </c>
      <c r="G18" s="23" t="n">
        <v>1800</v>
      </c>
      <c r="H18" s="23" t="n">
        <v>3100</v>
      </c>
      <c r="I18" s="23" t="n">
        <v>1300</v>
      </c>
      <c r="J18" s="23" t="n">
        <f aca="false">SUM(D18:I18)</f>
        <v>45000</v>
      </c>
      <c r="K18" s="22" t="s">
        <v>40</v>
      </c>
    </row>
    <row r="19" customFormat="false" ht="15" hidden="false" customHeight="true" outlineLevel="0" collapsed="false"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customFormat="false" ht="15" hidden="false" customHeight="true" outlineLevel="0" collapsed="false"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customFormat="false" ht="15" hidden="false" customHeight="true" outlineLevel="0" collapsed="false"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3" customFormat="false" ht="15" hidden="false" customHeight="true" outlineLevel="0" collapsed="false">
      <c r="B23" s="16" t="s">
        <v>53</v>
      </c>
      <c r="C23" s="24" t="n">
        <f aca="false">SUM(C6:C18)</f>
        <v>10075000</v>
      </c>
      <c r="D23" s="24" t="n">
        <f aca="false">SUM(D6:D18)</f>
        <v>1593500</v>
      </c>
      <c r="E23" s="24" t="n">
        <f aca="false">SUM(E6:E18)</f>
        <v>797800</v>
      </c>
      <c r="F23" s="24" t="n">
        <f aca="false">SUM(F6:F18)</f>
        <v>531800</v>
      </c>
      <c r="G23" s="24" t="n">
        <f aca="false">SUM(G6:G18)</f>
        <v>132800</v>
      </c>
      <c r="H23" s="24" t="n">
        <f aca="false">SUM(H6:H18)</f>
        <v>221500</v>
      </c>
      <c r="I23" s="24" t="n">
        <f aca="false">SUM(I6:I18)</f>
        <v>92600</v>
      </c>
      <c r="J23" s="24" t="n">
        <f aca="false">SUM(J6:J18)</f>
        <v>3370000</v>
      </c>
      <c r="K23" s="18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7" min="5" style="1" width="16"/>
    <col collapsed="false" customWidth="true" hidden="false" outlineLevel="0" max="8" min="8" style="1" width="30"/>
  </cols>
  <sheetData>
    <row r="2" customFormat="false" ht="24" hidden="false" customHeight="true" outlineLevel="0" collapsed="false">
      <c r="B2" s="2" t="s">
        <v>54</v>
      </c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B3" s="3" t="s">
        <v>55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29</v>
      </c>
      <c r="C5" s="7" t="s">
        <v>56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customFormat="false" ht="23.25" hidden="false" customHeight="true" outlineLevel="0" collapsed="false">
      <c r="B6" s="22" t="s">
        <v>39</v>
      </c>
      <c r="C6" s="23" t="n">
        <f aca="false">INDEX(1_Generation_Inventory!$J$6:$J$18,MATCH(B6,1_Generation_Inventory!$B$6:$B$18,0))</f>
        <v>950000</v>
      </c>
      <c r="D6" s="23" t="n">
        <v>470000</v>
      </c>
      <c r="E6" s="23" t="n">
        <v>22</v>
      </c>
      <c r="F6" s="23" t="n">
        <v>570000</v>
      </c>
      <c r="G6" s="23" t="n">
        <v>410000</v>
      </c>
      <c r="H6" s="25" t="s">
        <v>62</v>
      </c>
    </row>
    <row r="7" customFormat="false" ht="23.25" hidden="false" customHeight="true" outlineLevel="0" collapsed="false">
      <c r="B7" s="22" t="s">
        <v>41</v>
      </c>
      <c r="C7" s="23" t="n">
        <f aca="false">INDEX(1_Generation_Inventory!$J$6:$J$18,MATCH(B7,1_Generation_Inventory!$B$6:$B$18,0))</f>
        <v>720000</v>
      </c>
      <c r="D7" s="23" t="n">
        <v>330000</v>
      </c>
      <c r="E7" s="23" t="n">
        <v>18</v>
      </c>
      <c r="F7" s="23" t="n">
        <v>432000</v>
      </c>
      <c r="G7" s="23" t="n">
        <v>300000</v>
      </c>
      <c r="H7" s="25" t="s">
        <v>63</v>
      </c>
    </row>
    <row r="8" customFormat="false" ht="23.25" hidden="false" customHeight="true" outlineLevel="0" collapsed="false">
      <c r="B8" s="22" t="s">
        <v>42</v>
      </c>
      <c r="C8" s="23" t="n">
        <f aca="false">INDEX(1_Generation_Inventory!$J$6:$J$18,MATCH(B8,1_Generation_Inventory!$B$6:$B$18,0))</f>
        <v>480000</v>
      </c>
      <c r="D8" s="23" t="n">
        <v>210000</v>
      </c>
      <c r="E8" s="23" t="n">
        <v>15</v>
      </c>
      <c r="F8" s="23" t="n">
        <v>288000</v>
      </c>
      <c r="G8" s="23" t="n">
        <v>190000</v>
      </c>
      <c r="H8" s="25" t="s">
        <v>64</v>
      </c>
    </row>
    <row r="9" customFormat="false" ht="34.5" hidden="false" customHeight="true" outlineLevel="0" collapsed="false">
      <c r="B9" s="22" t="s">
        <v>43</v>
      </c>
      <c r="C9" s="23" t="n">
        <f aca="false">INDEX(1_Generation_Inventory!$J$6:$J$18,MATCH(B9,1_Generation_Inventory!$B$6:$B$18,0))</f>
        <v>380000</v>
      </c>
      <c r="D9" s="23" t="n">
        <v>165000</v>
      </c>
      <c r="E9" s="23" t="n">
        <v>12</v>
      </c>
      <c r="F9" s="23" t="n">
        <v>150000</v>
      </c>
      <c r="G9" s="23" t="n">
        <v>138000</v>
      </c>
      <c r="H9" s="25" t="s">
        <v>65</v>
      </c>
    </row>
    <row r="10" customFormat="false" ht="15" hidden="false" customHeight="true" outlineLevel="0" collapsed="false">
      <c r="B10" s="22" t="s">
        <v>44</v>
      </c>
      <c r="C10" s="23" t="n">
        <f aca="false">INDEX(1_Generation_Inventory!$J$6:$J$18,MATCH(B10,1_Generation_Inventory!$B$6:$B$18,0))</f>
        <v>150000</v>
      </c>
      <c r="D10" s="23" t="n">
        <v>58000</v>
      </c>
      <c r="E10" s="23" t="n">
        <v>6</v>
      </c>
      <c r="F10" s="23" t="n">
        <v>90000</v>
      </c>
      <c r="G10" s="23" t="n">
        <v>50000</v>
      </c>
      <c r="H10" s="25" t="s">
        <v>66</v>
      </c>
    </row>
    <row r="11" customFormat="false" ht="23.25" hidden="false" customHeight="true" outlineLevel="0" collapsed="false">
      <c r="B11" s="22" t="s">
        <v>45</v>
      </c>
      <c r="C11" s="23" t="n">
        <f aca="false">INDEX(1_Generation_Inventory!$J$6:$J$18,MATCH(B11,1_Generation_Inventory!$B$6:$B$18,0))</f>
        <v>140000</v>
      </c>
      <c r="D11" s="23" t="n">
        <v>52000</v>
      </c>
      <c r="E11" s="23" t="n">
        <v>5</v>
      </c>
      <c r="F11" s="23" t="n">
        <v>84000</v>
      </c>
      <c r="G11" s="23" t="n">
        <v>46000</v>
      </c>
      <c r="H11" s="25" t="s">
        <v>67</v>
      </c>
    </row>
    <row r="12" customFormat="false" ht="23.25" hidden="false" customHeight="true" outlineLevel="0" collapsed="false">
      <c r="B12" s="22" t="s">
        <v>46</v>
      </c>
      <c r="C12" s="23" t="n">
        <f aca="false">INDEX(1_Generation_Inventory!$J$6:$J$18,MATCH(B12,1_Generation_Inventory!$B$6:$B$18,0))</f>
        <v>130000</v>
      </c>
      <c r="D12" s="23" t="n">
        <v>47000</v>
      </c>
      <c r="E12" s="23" t="n">
        <v>5</v>
      </c>
      <c r="F12" s="23" t="n">
        <v>78000</v>
      </c>
      <c r="G12" s="23" t="n">
        <v>41000</v>
      </c>
      <c r="H12" s="25" t="s">
        <v>68</v>
      </c>
    </row>
    <row r="13" customFormat="false" ht="23.25" hidden="false" customHeight="true" outlineLevel="0" collapsed="false">
      <c r="B13" s="22" t="s">
        <v>47</v>
      </c>
      <c r="C13" s="23" t="n">
        <f aca="false">INDEX(1_Generation_Inventory!$J$6:$J$18,MATCH(B13,1_Generation_Inventory!$B$6:$B$18,0))</f>
        <v>85000</v>
      </c>
      <c r="D13" s="23" t="n">
        <v>27000</v>
      </c>
      <c r="E13" s="23" t="n">
        <v>3</v>
      </c>
      <c r="F13" s="23" t="n">
        <v>51000</v>
      </c>
      <c r="G13" s="23" t="n">
        <v>24000</v>
      </c>
      <c r="H13" s="25" t="s">
        <v>69</v>
      </c>
    </row>
    <row r="14" customFormat="false" ht="23.25" hidden="false" customHeight="true" outlineLevel="0" collapsed="false">
      <c r="B14" s="22" t="s">
        <v>48</v>
      </c>
      <c r="C14" s="23" t="n">
        <f aca="false">INDEX(1_Generation_Inventory!$J$6:$J$18,MATCH(B14,1_Generation_Inventory!$B$6:$B$18,0))</f>
        <v>95000</v>
      </c>
      <c r="D14" s="23" t="n">
        <v>30000</v>
      </c>
      <c r="E14" s="23" t="n">
        <v>4</v>
      </c>
      <c r="F14" s="23" t="n">
        <v>57000</v>
      </c>
      <c r="G14" s="23" t="n">
        <v>27000</v>
      </c>
      <c r="H14" s="25" t="s">
        <v>70</v>
      </c>
    </row>
    <row r="15" customFormat="false" ht="15" hidden="false" customHeight="true" outlineLevel="0" collapsed="false">
      <c r="B15" s="22" t="s">
        <v>49</v>
      </c>
      <c r="C15" s="23" t="n">
        <f aca="false">INDEX(1_Generation_Inventory!$J$6:$J$18,MATCH(B15,1_Generation_Inventory!$B$6:$B$18,0))</f>
        <v>90000</v>
      </c>
      <c r="D15" s="23" t="n">
        <v>29000</v>
      </c>
      <c r="E15" s="23" t="n">
        <v>4</v>
      </c>
      <c r="F15" s="23" t="n">
        <v>54000</v>
      </c>
      <c r="G15" s="23" t="n">
        <v>26000</v>
      </c>
      <c r="H15" s="25" t="s">
        <v>71</v>
      </c>
    </row>
    <row r="16" customFormat="false" ht="15" hidden="false" customHeight="true" outlineLevel="0" collapsed="false">
      <c r="B16" s="22" t="s">
        <v>50</v>
      </c>
      <c r="C16" s="23" t="n">
        <f aca="false">INDEX(1_Generation_Inventory!$J$6:$J$18,MATCH(B16,1_Generation_Inventory!$B$6:$B$18,0))</f>
        <v>55000</v>
      </c>
      <c r="D16" s="23" t="n">
        <v>17000</v>
      </c>
      <c r="E16" s="23" t="n">
        <v>3</v>
      </c>
      <c r="F16" s="23" t="n">
        <v>33000</v>
      </c>
      <c r="G16" s="23" t="n">
        <v>15000</v>
      </c>
      <c r="H16" s="25" t="s">
        <v>72</v>
      </c>
    </row>
    <row r="17" customFormat="false" ht="15" hidden="false" customHeight="true" outlineLevel="0" collapsed="false">
      <c r="B17" s="22" t="s">
        <v>51</v>
      </c>
      <c r="C17" s="23" t="n">
        <f aca="false">INDEX(1_Generation_Inventory!$J$6:$J$18,MATCH(B17,1_Generation_Inventory!$B$6:$B$18,0))</f>
        <v>50000</v>
      </c>
      <c r="D17" s="23" t="n">
        <v>15000</v>
      </c>
      <c r="E17" s="23" t="n">
        <v>3</v>
      </c>
      <c r="F17" s="23" t="n">
        <v>30000</v>
      </c>
      <c r="G17" s="23" t="n">
        <v>13000</v>
      </c>
      <c r="H17" s="25" t="s">
        <v>73</v>
      </c>
    </row>
    <row r="18" customFormat="false" ht="23.25" hidden="false" customHeight="true" outlineLevel="0" collapsed="false">
      <c r="B18" s="22" t="s">
        <v>52</v>
      </c>
      <c r="C18" s="23" t="n">
        <f aca="false">INDEX(1_Generation_Inventory!$J$6:$J$18,MATCH(B18,1_Generation_Inventory!$B$6:$B$18,0))</f>
        <v>45000</v>
      </c>
      <c r="D18" s="23" t="n">
        <v>13000</v>
      </c>
      <c r="E18" s="23" t="n">
        <v>2</v>
      </c>
      <c r="F18" s="23" t="n">
        <v>27000</v>
      </c>
      <c r="G18" s="23" t="n">
        <v>11000</v>
      </c>
      <c r="H18" s="25" t="s">
        <v>74</v>
      </c>
    </row>
    <row r="19" customFormat="false" ht="15" hidden="false" customHeight="true" outlineLevel="0" collapsed="false">
      <c r="B19" s="22"/>
      <c r="C19" s="22"/>
      <c r="D19" s="22"/>
      <c r="E19" s="22"/>
      <c r="F19" s="22"/>
      <c r="G19" s="22"/>
      <c r="H19" s="22"/>
    </row>
    <row r="20" customFormat="false" ht="15" hidden="false" customHeight="true" outlineLevel="0" collapsed="false">
      <c r="B20" s="22"/>
      <c r="C20" s="22"/>
      <c r="D20" s="22"/>
      <c r="E20" s="22"/>
      <c r="F20" s="22"/>
      <c r="G20" s="22"/>
      <c r="H20" s="22"/>
    </row>
    <row r="21" customFormat="false" ht="15" hidden="false" customHeight="true" outlineLevel="0" collapsed="false">
      <c r="B21" s="22"/>
      <c r="C21" s="22"/>
      <c r="D21" s="22"/>
      <c r="E21" s="22"/>
      <c r="F21" s="22"/>
      <c r="G21" s="22"/>
      <c r="H21" s="22"/>
    </row>
    <row r="23" customFormat="false" ht="15" hidden="false" customHeight="true" outlineLevel="0" collapsed="false">
      <c r="B23" s="16" t="s">
        <v>53</v>
      </c>
      <c r="C23" s="24" t="n">
        <f aca="false">SUM(C6:C18)</f>
        <v>3370000</v>
      </c>
      <c r="D23" s="24" t="n">
        <f aca="false">SUM(D6:D18)</f>
        <v>1463000</v>
      </c>
      <c r="E23" s="24" t="n">
        <f aca="false">SUM(E6:E18)</f>
        <v>102</v>
      </c>
      <c r="F23" s="24" t="n">
        <f aca="false">SUM(F6:F18)</f>
        <v>1944000</v>
      </c>
      <c r="G23" s="24" t="n">
        <f aca="false">SUM(G6:G18)</f>
        <v>1291000</v>
      </c>
      <c r="H23" s="18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8" min="7" style="1" width="16"/>
  </cols>
  <sheetData>
    <row r="2" customFormat="false" ht="24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3" t="s">
        <v>76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77</v>
      </c>
      <c r="C5" s="7" t="s">
        <v>78</v>
      </c>
      <c r="D5" s="7" t="s">
        <v>29</v>
      </c>
      <c r="E5" s="7" t="s">
        <v>79</v>
      </c>
      <c r="F5" s="7" t="s">
        <v>80</v>
      </c>
      <c r="G5" s="7" t="s">
        <v>81</v>
      </c>
      <c r="H5" s="7" t="s">
        <v>82</v>
      </c>
    </row>
    <row r="6" customFormat="false" ht="23.25" hidden="false" customHeight="true" outlineLevel="0" collapsed="false">
      <c r="B6" s="25" t="s">
        <v>83</v>
      </c>
      <c r="C6" s="22" t="s">
        <v>84</v>
      </c>
      <c r="D6" s="22" t="s">
        <v>39</v>
      </c>
      <c r="E6" s="23" t="n">
        <v>6000</v>
      </c>
      <c r="F6" s="23" t="n">
        <v>4100</v>
      </c>
      <c r="G6" s="26" t="n">
        <v>0.82</v>
      </c>
      <c r="H6" s="22" t="s">
        <v>85</v>
      </c>
    </row>
    <row r="7" customFormat="false" ht="23.25" hidden="false" customHeight="true" outlineLevel="0" collapsed="false">
      <c r="B7" s="25" t="s">
        <v>86</v>
      </c>
      <c r="C7" s="22" t="s">
        <v>87</v>
      </c>
      <c r="D7" s="22" t="s">
        <v>39</v>
      </c>
      <c r="E7" s="23" t="n">
        <v>3000</v>
      </c>
      <c r="F7" s="23" t="n">
        <v>1850</v>
      </c>
      <c r="G7" s="26" t="n">
        <v>0.76</v>
      </c>
      <c r="H7" s="22" t="s">
        <v>40</v>
      </c>
    </row>
    <row r="8" customFormat="false" ht="23.25" hidden="false" customHeight="true" outlineLevel="0" collapsed="false">
      <c r="B8" s="25" t="s">
        <v>88</v>
      </c>
      <c r="C8" s="22" t="s">
        <v>89</v>
      </c>
      <c r="D8" s="22" t="s">
        <v>41</v>
      </c>
      <c r="E8" s="23" t="n">
        <v>5500</v>
      </c>
      <c r="F8" s="23" t="n">
        <v>3200</v>
      </c>
      <c r="G8" s="26" t="n">
        <v>0.79</v>
      </c>
      <c r="H8" s="22" t="s">
        <v>90</v>
      </c>
    </row>
    <row r="9" customFormat="false" ht="15" hidden="false" customHeight="true" outlineLevel="0" collapsed="false">
      <c r="B9" s="25" t="s">
        <v>91</v>
      </c>
      <c r="C9" s="22" t="s">
        <v>92</v>
      </c>
      <c r="D9" s="22" t="s">
        <v>41</v>
      </c>
      <c r="E9" s="23" t="n">
        <v>2800</v>
      </c>
      <c r="F9" s="23" t="n">
        <v>1650</v>
      </c>
      <c r="G9" s="26" t="n">
        <v>0.71</v>
      </c>
      <c r="H9" s="22" t="s">
        <v>93</v>
      </c>
    </row>
    <row r="10" customFormat="false" ht="23.25" hidden="false" customHeight="true" outlineLevel="0" collapsed="false">
      <c r="B10" s="25" t="s">
        <v>94</v>
      </c>
      <c r="C10" s="22" t="s">
        <v>95</v>
      </c>
      <c r="D10" s="22" t="s">
        <v>42</v>
      </c>
      <c r="E10" s="23" t="n">
        <v>3200</v>
      </c>
      <c r="F10" s="23" t="n">
        <v>1900</v>
      </c>
      <c r="G10" s="26" t="n">
        <v>0.74</v>
      </c>
      <c r="H10" s="22" t="s">
        <v>96</v>
      </c>
    </row>
    <row r="11" customFormat="false" ht="23.25" hidden="false" customHeight="true" outlineLevel="0" collapsed="false">
      <c r="B11" s="25" t="s">
        <v>97</v>
      </c>
      <c r="C11" s="22" t="s">
        <v>98</v>
      </c>
      <c r="D11" s="22" t="s">
        <v>43</v>
      </c>
      <c r="E11" s="23" t="n">
        <v>1500</v>
      </c>
      <c r="F11" s="23" t="n">
        <v>820</v>
      </c>
      <c r="G11" s="26" t="n">
        <v>0.68</v>
      </c>
      <c r="H11" s="22" t="s">
        <v>85</v>
      </c>
    </row>
    <row r="12" customFormat="false" ht="23.25" hidden="false" customHeight="true" outlineLevel="0" collapsed="false">
      <c r="B12" s="25" t="s">
        <v>99</v>
      </c>
      <c r="C12" s="22" t="s">
        <v>100</v>
      </c>
      <c r="D12" s="22" t="s">
        <v>42</v>
      </c>
      <c r="E12" s="23" t="n">
        <v>2200</v>
      </c>
      <c r="F12" s="23" t="n">
        <v>1100</v>
      </c>
      <c r="G12" s="26" t="n">
        <v>0.7</v>
      </c>
      <c r="H12" s="22" t="s">
        <v>101</v>
      </c>
    </row>
    <row r="13" customFormat="false" ht="15" hidden="false" customHeight="true" outlineLevel="0" collapsed="false">
      <c r="B13" s="25" t="s">
        <v>102</v>
      </c>
      <c r="C13" s="22" t="s">
        <v>103</v>
      </c>
      <c r="D13" s="22" t="s">
        <v>39</v>
      </c>
      <c r="E13" s="23" t="n">
        <v>1800</v>
      </c>
      <c r="F13" s="23" t="n">
        <v>950</v>
      </c>
      <c r="G13" s="26" t="n">
        <v>0.65</v>
      </c>
      <c r="H13" s="22" t="s">
        <v>104</v>
      </c>
    </row>
    <row r="14" customFormat="false" ht="15" hidden="false" customHeight="true" outlineLevel="0" collapsed="false">
      <c r="B14" s="25" t="s">
        <v>105</v>
      </c>
      <c r="C14" s="22" t="s">
        <v>106</v>
      </c>
      <c r="D14" s="22" t="s">
        <v>47</v>
      </c>
      <c r="E14" s="23" t="n">
        <v>400</v>
      </c>
      <c r="F14" s="23" t="n">
        <v>120</v>
      </c>
      <c r="G14" s="26" t="n">
        <v>0.55</v>
      </c>
      <c r="H14" s="22" t="s">
        <v>107</v>
      </c>
    </row>
    <row r="15" customFormat="false" ht="23.25" hidden="false" customHeight="true" outlineLevel="0" collapsed="false">
      <c r="B15" s="25" t="s">
        <v>108</v>
      </c>
      <c r="C15" s="22" t="s">
        <v>109</v>
      </c>
      <c r="D15" s="22" t="s">
        <v>43</v>
      </c>
      <c r="E15" s="23" t="n">
        <v>1200</v>
      </c>
      <c r="F15" s="23" t="n">
        <v>610</v>
      </c>
      <c r="G15" s="26" t="n">
        <v>0.66</v>
      </c>
      <c r="H15" s="22" t="s">
        <v>90</v>
      </c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</row>
    <row r="17" customFormat="false" ht="15" hidden="false" customHeight="true" outlineLevel="0" collapsed="false">
      <c r="B17" s="22"/>
      <c r="C17" s="22"/>
      <c r="D17" s="22"/>
      <c r="E17" s="22"/>
      <c r="F17" s="22"/>
      <c r="G17" s="22"/>
      <c r="H17" s="22"/>
    </row>
    <row r="18" customFormat="false" ht="15" hidden="false" customHeight="true" outlineLevel="0" collapsed="false">
      <c r="B18" s="22"/>
      <c r="C18" s="22"/>
      <c r="D18" s="22"/>
      <c r="E18" s="22"/>
      <c r="F18" s="22"/>
      <c r="G18" s="22"/>
      <c r="H18" s="22"/>
    </row>
    <row r="20" customFormat="false" ht="15" hidden="false" customHeight="true" outlineLevel="0" collapsed="false">
      <c r="B20" s="16" t="s">
        <v>53</v>
      </c>
      <c r="C20" s="18"/>
      <c r="D20" s="18"/>
      <c r="E20" s="24" t="n">
        <f aca="false">SUM(E6:E15)</f>
        <v>27600</v>
      </c>
      <c r="F20" s="24" t="n">
        <f aca="false">SUM(F6:F15)</f>
        <v>16300</v>
      </c>
      <c r="G20" s="27" t="n">
        <f aca="false">SUMPRODUCT(F6:F15,G6:G15)/SUM(F6:F15)</f>
        <v>0.753815950920245</v>
      </c>
      <c r="H20" s="18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8" min="4" style="1" width="16"/>
    <col collapsed="false" customWidth="true" hidden="false" outlineLevel="0" max="9" min="9" style="1" width="32"/>
  </cols>
  <sheetData>
    <row r="2" customFormat="false" ht="24" hidden="false" customHeight="true" outlineLevel="0" collapsed="false">
      <c r="B2" s="2" t="s">
        <v>110</v>
      </c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B3" s="3" t="s">
        <v>111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  <c r="G5" s="7" t="s">
        <v>117</v>
      </c>
      <c r="H5" s="7" t="s">
        <v>118</v>
      </c>
      <c r="I5" s="7" t="s">
        <v>61</v>
      </c>
    </row>
    <row r="6" customFormat="false" ht="15" hidden="false" customHeight="true" outlineLevel="0" collapsed="false">
      <c r="B6" s="22" t="s">
        <v>119</v>
      </c>
      <c r="C6" s="22" t="s">
        <v>120</v>
      </c>
      <c r="D6" s="11" t="s">
        <v>121</v>
      </c>
      <c r="E6" s="11" t="s">
        <v>122</v>
      </c>
      <c r="F6" s="11" t="s">
        <v>122</v>
      </c>
      <c r="G6" s="11" t="s">
        <v>123</v>
      </c>
      <c r="H6" s="11" t="s">
        <v>124</v>
      </c>
      <c r="I6" s="25" t="s">
        <v>125</v>
      </c>
    </row>
    <row r="7" customFormat="false" ht="15" hidden="false" customHeight="true" outlineLevel="0" collapsed="false">
      <c r="B7" s="22" t="s">
        <v>126</v>
      </c>
      <c r="C7" s="22" t="s">
        <v>127</v>
      </c>
      <c r="D7" s="11" t="s">
        <v>121</v>
      </c>
      <c r="E7" s="11" t="s">
        <v>122</v>
      </c>
      <c r="F7" s="11" t="s">
        <v>122</v>
      </c>
      <c r="G7" s="11" t="s">
        <v>123</v>
      </c>
      <c r="H7" s="11" t="s">
        <v>124</v>
      </c>
      <c r="I7" s="25" t="s">
        <v>128</v>
      </c>
    </row>
    <row r="8" customFormat="false" ht="23.25" hidden="false" customHeight="true" outlineLevel="0" collapsed="false">
      <c r="B8" s="22" t="s">
        <v>129</v>
      </c>
      <c r="C8" s="22" t="s">
        <v>130</v>
      </c>
      <c r="D8" s="11" t="s">
        <v>131</v>
      </c>
      <c r="E8" s="11" t="s">
        <v>122</v>
      </c>
      <c r="F8" s="11" t="s">
        <v>122</v>
      </c>
      <c r="G8" s="11" t="s">
        <v>122</v>
      </c>
      <c r="H8" s="11" t="s">
        <v>123</v>
      </c>
      <c r="I8" s="25" t="s">
        <v>132</v>
      </c>
    </row>
    <row r="9" customFormat="false" ht="15" hidden="false" customHeight="true" outlineLevel="0" collapsed="false">
      <c r="B9" s="22" t="s">
        <v>133</v>
      </c>
      <c r="C9" s="22" t="s">
        <v>134</v>
      </c>
      <c r="D9" s="11" t="s">
        <v>121</v>
      </c>
      <c r="E9" s="11" t="s">
        <v>122</v>
      </c>
      <c r="F9" s="11" t="s">
        <v>123</v>
      </c>
      <c r="G9" s="11" t="s">
        <v>123</v>
      </c>
      <c r="H9" s="11" t="s">
        <v>124</v>
      </c>
      <c r="I9" s="25" t="s">
        <v>135</v>
      </c>
    </row>
    <row r="10" customFormat="false" ht="23.25" hidden="false" customHeight="true" outlineLevel="0" collapsed="false">
      <c r="B10" s="22" t="s">
        <v>136</v>
      </c>
      <c r="C10" s="22" t="s">
        <v>137</v>
      </c>
      <c r="D10" s="11" t="s">
        <v>138</v>
      </c>
      <c r="E10" s="11" t="s">
        <v>122</v>
      </c>
      <c r="F10" s="11" t="s">
        <v>122</v>
      </c>
      <c r="G10" s="11" t="s">
        <v>122</v>
      </c>
      <c r="H10" s="11" t="s">
        <v>123</v>
      </c>
      <c r="I10" s="25" t="s">
        <v>139</v>
      </c>
    </row>
    <row r="11" customFormat="false" ht="15" hidden="false" customHeight="true" outlineLevel="0" collapsed="false">
      <c r="B11" s="22" t="s">
        <v>140</v>
      </c>
      <c r="C11" s="22" t="s">
        <v>141</v>
      </c>
      <c r="D11" s="11" t="s">
        <v>121</v>
      </c>
      <c r="E11" s="11" t="s">
        <v>122</v>
      </c>
      <c r="F11" s="11" t="s">
        <v>122</v>
      </c>
      <c r="G11" s="11" t="s">
        <v>123</v>
      </c>
      <c r="H11" s="11" t="s">
        <v>124</v>
      </c>
      <c r="I11" s="25" t="s">
        <v>142</v>
      </c>
    </row>
    <row r="12" customFormat="false" ht="23.25" hidden="false" customHeight="true" outlineLevel="0" collapsed="false">
      <c r="B12" s="22" t="s">
        <v>143</v>
      </c>
      <c r="C12" s="22" t="s">
        <v>144</v>
      </c>
      <c r="D12" s="11" t="s">
        <v>145</v>
      </c>
      <c r="E12" s="11" t="s">
        <v>123</v>
      </c>
      <c r="F12" s="11" t="s">
        <v>123</v>
      </c>
      <c r="G12" s="11" t="s">
        <v>123</v>
      </c>
      <c r="H12" s="11" t="s">
        <v>124</v>
      </c>
      <c r="I12" s="25" t="s">
        <v>146</v>
      </c>
    </row>
    <row r="13" customFormat="false" ht="15" hidden="false" customHeight="true" outlineLevel="0" collapsed="false">
      <c r="B13" s="22" t="s">
        <v>147</v>
      </c>
      <c r="C13" s="22" t="s">
        <v>148</v>
      </c>
      <c r="D13" s="11" t="s">
        <v>121</v>
      </c>
      <c r="E13" s="11" t="s">
        <v>122</v>
      </c>
      <c r="F13" s="11" t="s">
        <v>122</v>
      </c>
      <c r="G13" s="11" t="s">
        <v>123</v>
      </c>
      <c r="H13" s="11" t="s">
        <v>124</v>
      </c>
      <c r="I13" s="25" t="s">
        <v>149</v>
      </c>
    </row>
    <row r="14" customFormat="false" ht="15" hidden="false" customHeight="true" outlineLevel="0" collapsed="false">
      <c r="B14" s="22" t="s">
        <v>150</v>
      </c>
      <c r="C14" s="22" t="s">
        <v>151</v>
      </c>
      <c r="D14" s="11" t="s">
        <v>131</v>
      </c>
      <c r="E14" s="11" t="s">
        <v>122</v>
      </c>
      <c r="F14" s="11" t="s">
        <v>122</v>
      </c>
      <c r="G14" s="11" t="s">
        <v>122</v>
      </c>
      <c r="H14" s="11" t="s">
        <v>122</v>
      </c>
      <c r="I14" s="25" t="s">
        <v>152</v>
      </c>
    </row>
    <row r="15" customFormat="false" ht="15" hidden="false" customHeight="true" outlineLevel="0" collapsed="false">
      <c r="B15" s="22" t="s">
        <v>153</v>
      </c>
      <c r="C15" s="22" t="s">
        <v>154</v>
      </c>
      <c r="D15" s="11" t="s">
        <v>121</v>
      </c>
      <c r="E15" s="11" t="s">
        <v>122</v>
      </c>
      <c r="F15" s="11" t="s">
        <v>122</v>
      </c>
      <c r="G15" s="11" t="s">
        <v>123</v>
      </c>
      <c r="H15" s="11" t="s">
        <v>124</v>
      </c>
      <c r="I15" s="25" t="s">
        <v>155</v>
      </c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B18" s="22"/>
      <c r="C18" s="22"/>
      <c r="D18" s="22"/>
      <c r="E18" s="22"/>
      <c r="F18" s="22"/>
      <c r="G18" s="22"/>
      <c r="H18" s="22"/>
      <c r="I18" s="22"/>
    </row>
    <row r="20" customFormat="false" ht="15" hidden="false" customHeight="true" outlineLevel="0" collapsed="false">
      <c r="B20" s="16" t="s">
        <v>121</v>
      </c>
      <c r="C20" s="28" t="n">
        <f aca="false">COUNTIF(D6:D15,"Compliant")</f>
        <v>6</v>
      </c>
    </row>
    <row r="21" customFormat="false" ht="15" hidden="false" customHeight="true" outlineLevel="0" collapsed="false">
      <c r="B21" s="16" t="s">
        <v>131</v>
      </c>
      <c r="C21" s="28" t="n">
        <f aca="false">COUNTIF(D6:D15,"Partially Compliant")</f>
        <v>2</v>
      </c>
    </row>
    <row r="22" customFormat="false" ht="15" hidden="false" customHeight="true" outlineLevel="0" collapsed="false">
      <c r="B22" s="16" t="s">
        <v>138</v>
      </c>
      <c r="C22" s="28" t="n">
        <f aca="false">COUNTIF(D6:D15,"Non-Compliant")</f>
        <v>1</v>
      </c>
    </row>
    <row r="23" customFormat="false" ht="15" hidden="false" customHeight="true" outlineLevel="0" collapsed="false">
      <c r="B23" s="16" t="s">
        <v>145</v>
      </c>
      <c r="C23" s="28" t="n">
        <f aca="false">COUNTIF(D6:D15,"Under Review")</f>
        <v>1</v>
      </c>
    </row>
    <row r="24" customFormat="false" ht="15" hidden="false" customHeight="true" outlineLevel="0" collapsed="false">
      <c r="B24" s="16" t="s">
        <v>156</v>
      </c>
      <c r="C24" s="28" t="n">
        <f aca="false">COUNTA(B6:B15)</f>
        <v>10</v>
      </c>
    </row>
    <row r="25" customFormat="false" ht="15" hidden="false" customHeight="true" outlineLevel="0" collapsed="false">
      <c r="B25" s="16" t="s">
        <v>157</v>
      </c>
      <c r="C25" s="28" t="n">
        <f aca="false">COUNTIF(E6:E15,"Yes")</f>
        <v>9</v>
      </c>
    </row>
    <row r="26" customFormat="false" ht="15" hidden="false" customHeight="true" outlineLevel="0" collapsed="false">
      <c r="B26" s="16" t="s">
        <v>158</v>
      </c>
      <c r="C26" s="28" t="n">
        <f aca="false">COUNTIF(F6:F15,"Yes")</f>
        <v>8</v>
      </c>
    </row>
    <row r="27" customFormat="false" ht="15" hidden="false" customHeight="true" outlineLevel="0" collapsed="false">
      <c r="B27" s="16" t="s">
        <v>159</v>
      </c>
      <c r="C27" s="28" t="n">
        <f aca="false">COUNTIF(G6:G15,"Yes")</f>
        <v>3</v>
      </c>
    </row>
    <row r="28" customFormat="false" ht="15" hidden="false" customHeight="true" outlineLevel="0" collapsed="false">
      <c r="B28" s="16" t="s">
        <v>160</v>
      </c>
      <c r="C28" s="28" t="n">
        <f aca="false">COUNTIF(H6:H15,"Yes")</f>
        <v>1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30"/>
    <col collapsed="false" customWidth="true" hidden="false" outlineLevel="0" max="8" min="8" style="1" width="26"/>
  </cols>
  <sheetData>
    <row r="2" customFormat="false" ht="24" hidden="false" customHeight="true" outlineLevel="0" collapsed="false">
      <c r="B2" s="2" t="s">
        <v>161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3" t="s">
        <v>162</v>
      </c>
      <c r="C3" s="3"/>
      <c r="D3" s="3"/>
      <c r="E3" s="3"/>
      <c r="F3" s="3"/>
      <c r="G3" s="3"/>
      <c r="H3" s="3"/>
    </row>
    <row r="5" customFormat="false" ht="31.5" hidden="false" customHeight="true" outlineLevel="0" collapsed="false">
      <c r="B5" s="7" t="s">
        <v>163</v>
      </c>
      <c r="C5" s="7" t="s">
        <v>29</v>
      </c>
      <c r="D5" s="7" t="s">
        <v>164</v>
      </c>
      <c r="E5" s="7" t="s">
        <v>165</v>
      </c>
      <c r="F5" s="7" t="s">
        <v>166</v>
      </c>
      <c r="G5" s="7" t="s">
        <v>167</v>
      </c>
      <c r="H5" s="7" t="s">
        <v>61</v>
      </c>
    </row>
    <row r="6" customFormat="false" ht="34.5" hidden="false" customHeight="true" outlineLevel="0" collapsed="false">
      <c r="B6" s="25" t="s">
        <v>168</v>
      </c>
      <c r="C6" s="22" t="s">
        <v>39</v>
      </c>
      <c r="D6" s="22" t="s">
        <v>169</v>
      </c>
      <c r="E6" s="23" t="n">
        <v>90</v>
      </c>
      <c r="F6" s="23" t="n">
        <v>35</v>
      </c>
      <c r="G6" s="25" t="s">
        <v>170</v>
      </c>
      <c r="H6" s="25" t="s">
        <v>171</v>
      </c>
    </row>
    <row r="7" customFormat="false" ht="23.25" hidden="false" customHeight="true" outlineLevel="0" collapsed="false">
      <c r="B7" s="25" t="s">
        <v>172</v>
      </c>
      <c r="C7" s="22" t="s">
        <v>41</v>
      </c>
      <c r="D7" s="22" t="s">
        <v>173</v>
      </c>
      <c r="E7" s="23" t="n">
        <v>120</v>
      </c>
      <c r="F7" s="23" t="n">
        <v>20</v>
      </c>
      <c r="G7" s="25" t="s">
        <v>174</v>
      </c>
      <c r="H7" s="25" t="s">
        <v>175</v>
      </c>
    </row>
    <row r="8" customFormat="false" ht="23.25" hidden="false" customHeight="true" outlineLevel="0" collapsed="false">
      <c r="B8" s="25" t="s">
        <v>176</v>
      </c>
      <c r="C8" s="22" t="s">
        <v>42</v>
      </c>
      <c r="D8" s="22" t="s">
        <v>169</v>
      </c>
      <c r="E8" s="23" t="n">
        <v>75</v>
      </c>
      <c r="F8" s="23" t="n">
        <v>28</v>
      </c>
      <c r="G8" s="25" t="s">
        <v>177</v>
      </c>
      <c r="H8" s="25" t="s">
        <v>178</v>
      </c>
    </row>
    <row r="9" customFormat="false" ht="23.25" hidden="false" customHeight="true" outlineLevel="0" collapsed="false">
      <c r="B9" s="25" t="s">
        <v>179</v>
      </c>
      <c r="C9" s="22" t="s">
        <v>43</v>
      </c>
      <c r="D9" s="22" t="s">
        <v>173</v>
      </c>
      <c r="E9" s="23" t="n">
        <v>60</v>
      </c>
      <c r="F9" s="23" t="n">
        <v>10</v>
      </c>
      <c r="G9" s="25" t="s">
        <v>180</v>
      </c>
      <c r="H9" s="25" t="s">
        <v>181</v>
      </c>
    </row>
    <row r="10" customFormat="false" ht="23.25" hidden="false" customHeight="true" outlineLevel="0" collapsed="false">
      <c r="B10" s="25" t="s">
        <v>182</v>
      </c>
      <c r="C10" s="22" t="s">
        <v>42</v>
      </c>
      <c r="D10" s="22" t="s">
        <v>183</v>
      </c>
      <c r="E10" s="23" t="n">
        <v>50</v>
      </c>
      <c r="F10" s="23" t="n">
        <v>50</v>
      </c>
      <c r="G10" s="25" t="s">
        <v>184</v>
      </c>
      <c r="H10" s="25" t="s">
        <v>185</v>
      </c>
    </row>
    <row r="11" customFormat="false" ht="15" hidden="false" customHeight="true" outlineLevel="0" collapsed="false">
      <c r="B11" s="25" t="s">
        <v>186</v>
      </c>
      <c r="C11" s="22" t="s">
        <v>39</v>
      </c>
      <c r="D11" s="22" t="s">
        <v>173</v>
      </c>
      <c r="E11" s="23" t="n">
        <v>40</v>
      </c>
      <c r="F11" s="23" t="n">
        <v>5</v>
      </c>
      <c r="G11" s="25" t="s">
        <v>187</v>
      </c>
      <c r="H11" s="25" t="s">
        <v>188</v>
      </c>
    </row>
    <row r="12" customFormat="false" ht="23.25" hidden="false" customHeight="true" outlineLevel="0" collapsed="false">
      <c r="B12" s="25" t="s">
        <v>189</v>
      </c>
      <c r="C12" s="22" t="s">
        <v>41</v>
      </c>
      <c r="D12" s="22" t="s">
        <v>169</v>
      </c>
      <c r="E12" s="23" t="n">
        <v>85</v>
      </c>
      <c r="F12" s="23" t="n">
        <v>30</v>
      </c>
      <c r="G12" s="25" t="s">
        <v>190</v>
      </c>
      <c r="H12" s="25" t="s">
        <v>191</v>
      </c>
    </row>
    <row r="13" customFormat="false" ht="15" hidden="false" customHeight="true" outlineLevel="0" collapsed="false">
      <c r="B13" s="25" t="s">
        <v>192</v>
      </c>
      <c r="C13" s="22" t="s">
        <v>43</v>
      </c>
      <c r="D13" s="22" t="s">
        <v>173</v>
      </c>
      <c r="E13" s="23" t="n">
        <v>35</v>
      </c>
      <c r="F13" s="23" t="n">
        <v>8</v>
      </c>
      <c r="G13" s="25" t="s">
        <v>193</v>
      </c>
      <c r="H13" s="25" t="s">
        <v>194</v>
      </c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  <c r="H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  <c r="H15" s="22"/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  <c r="H16" s="22"/>
    </row>
    <row r="18" customFormat="false" ht="15" hidden="false" customHeight="true" outlineLevel="0" collapsed="false">
      <c r="B18" s="16" t="s">
        <v>195</v>
      </c>
      <c r="C18" s="24" t="n">
        <f aca="false">COUNTA(B6:B13)</f>
        <v>8</v>
      </c>
    </row>
    <row r="19" customFormat="false" ht="15" hidden="false" customHeight="true" outlineLevel="0" collapsed="false">
      <c r="B19" s="16" t="s">
        <v>196</v>
      </c>
      <c r="C19" s="24" t="n">
        <f aca="false">COUNTIF(D6:D13,"Formalized")</f>
        <v>1</v>
      </c>
    </row>
    <row r="20" customFormat="false" ht="15" hidden="false" customHeight="true" outlineLevel="0" collapsed="false">
      <c r="B20" s="16" t="s">
        <v>197</v>
      </c>
      <c r="C20" s="24" t="n">
        <f aca="false">SUM(E6:E13)</f>
        <v>555</v>
      </c>
    </row>
    <row r="21" customFormat="false" ht="15" hidden="false" customHeight="true" outlineLevel="0" collapsed="false">
      <c r="B21" s="16" t="s">
        <v>198</v>
      </c>
      <c r="C21" s="24" t="n">
        <f aca="false">SUM(F6:F13)</f>
        <v>186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30"/>
  </cols>
  <sheetData>
    <row r="2" customFormat="false" ht="24" hidden="false" customHeight="true" outlineLevel="0" collapsed="false">
      <c r="B2" s="2" t="s">
        <v>199</v>
      </c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B3" s="3" t="s">
        <v>200</v>
      </c>
      <c r="C3" s="3"/>
      <c r="D3" s="3"/>
      <c r="E3" s="3"/>
      <c r="F3" s="3"/>
      <c r="G3" s="3"/>
      <c r="H3" s="3"/>
      <c r="I3" s="3"/>
    </row>
    <row r="5" customFormat="false" ht="31.5" hidden="false" customHeight="true" outlineLevel="0" collapsed="false">
      <c r="B5" s="7" t="s">
        <v>201</v>
      </c>
      <c r="C5" s="7" t="s">
        <v>29</v>
      </c>
      <c r="D5" s="7" t="s">
        <v>202</v>
      </c>
      <c r="E5" s="7" t="s">
        <v>203</v>
      </c>
      <c r="F5" s="7" t="s">
        <v>204</v>
      </c>
      <c r="G5" s="7" t="s">
        <v>205</v>
      </c>
      <c r="H5" s="7" t="s">
        <v>206</v>
      </c>
      <c r="I5" s="7" t="s">
        <v>61</v>
      </c>
    </row>
    <row r="6" customFormat="false" ht="15" hidden="false" customHeight="true" outlineLevel="0" collapsed="false">
      <c r="B6" s="25" t="s">
        <v>168</v>
      </c>
      <c r="C6" s="22" t="s">
        <v>39</v>
      </c>
      <c r="D6" s="22" t="s">
        <v>207</v>
      </c>
      <c r="E6" s="25" t="s">
        <v>208</v>
      </c>
      <c r="F6" s="22" t="s">
        <v>209</v>
      </c>
      <c r="G6" s="23" t="s">
        <v>122</v>
      </c>
      <c r="H6" s="25" t="n">
        <v>210</v>
      </c>
      <c r="I6" s="22" t="s">
        <v>210</v>
      </c>
    </row>
    <row r="7" customFormat="false" ht="15" hidden="false" customHeight="true" outlineLevel="0" collapsed="false">
      <c r="B7" s="25" t="s">
        <v>172</v>
      </c>
      <c r="C7" s="22" t="s">
        <v>41</v>
      </c>
      <c r="D7" s="22" t="s">
        <v>211</v>
      </c>
      <c r="E7" s="25" t="s">
        <v>212</v>
      </c>
      <c r="F7" s="22" t="s">
        <v>213</v>
      </c>
      <c r="G7" s="23" t="s">
        <v>122</v>
      </c>
      <c r="H7" s="25" t="n">
        <v>180</v>
      </c>
      <c r="I7" s="22" t="s">
        <v>214</v>
      </c>
    </row>
    <row r="8" customFormat="false" ht="15" hidden="false" customHeight="true" outlineLevel="0" collapsed="false">
      <c r="B8" s="25" t="s">
        <v>176</v>
      </c>
      <c r="C8" s="22" t="s">
        <v>42</v>
      </c>
      <c r="D8" s="22" t="s">
        <v>215</v>
      </c>
      <c r="E8" s="25" t="s">
        <v>216</v>
      </c>
      <c r="F8" s="22" t="s">
        <v>217</v>
      </c>
      <c r="G8" s="23" t="s">
        <v>122</v>
      </c>
      <c r="H8" s="25" t="n">
        <v>150</v>
      </c>
      <c r="I8" s="22" t="s">
        <v>218</v>
      </c>
    </row>
    <row r="9" customFormat="false" ht="15" hidden="false" customHeight="true" outlineLevel="0" collapsed="false">
      <c r="B9" s="25" t="s">
        <v>179</v>
      </c>
      <c r="C9" s="22" t="s">
        <v>43</v>
      </c>
      <c r="D9" s="22" t="s">
        <v>219</v>
      </c>
      <c r="E9" s="25" t="s">
        <v>220</v>
      </c>
      <c r="F9" s="22" t="s">
        <v>213</v>
      </c>
      <c r="G9" s="23" t="s">
        <v>123</v>
      </c>
      <c r="H9" s="25" t="n">
        <v>0</v>
      </c>
      <c r="I9" s="22" t="s">
        <v>221</v>
      </c>
    </row>
    <row r="10" customFormat="false" ht="23.25" hidden="false" customHeight="true" outlineLevel="0" collapsed="false">
      <c r="B10" s="25" t="s">
        <v>182</v>
      </c>
      <c r="C10" s="22" t="s">
        <v>42</v>
      </c>
      <c r="D10" s="22" t="s">
        <v>207</v>
      </c>
      <c r="E10" s="25" t="s">
        <v>222</v>
      </c>
      <c r="F10" s="22" t="s">
        <v>213</v>
      </c>
      <c r="G10" s="23" t="s">
        <v>122</v>
      </c>
      <c r="H10" s="25" t="n">
        <v>260</v>
      </c>
      <c r="I10" s="22" t="s">
        <v>223</v>
      </c>
    </row>
    <row r="11" customFormat="false" ht="15" hidden="false" customHeight="true" outlineLevel="0" collapsed="false">
      <c r="B11" s="25" t="s">
        <v>189</v>
      </c>
      <c r="C11" s="22" t="s">
        <v>41</v>
      </c>
      <c r="D11" s="22" t="s">
        <v>211</v>
      </c>
      <c r="E11" s="25" t="s">
        <v>224</v>
      </c>
      <c r="F11" s="22" t="s">
        <v>225</v>
      </c>
      <c r="G11" s="23" t="s">
        <v>122</v>
      </c>
      <c r="H11" s="25" t="n">
        <v>140</v>
      </c>
      <c r="I11" s="22" t="s">
        <v>226</v>
      </c>
    </row>
    <row r="12" customFormat="false" ht="15" hidden="false" customHeight="true" outlineLevel="0" collapsed="false">
      <c r="B12" s="25" t="s">
        <v>186</v>
      </c>
      <c r="C12" s="22" t="s">
        <v>39</v>
      </c>
      <c r="D12" s="22" t="s">
        <v>215</v>
      </c>
      <c r="E12" s="25" t="s">
        <v>227</v>
      </c>
      <c r="F12" s="22" t="s">
        <v>213</v>
      </c>
      <c r="G12" s="23" t="s">
        <v>123</v>
      </c>
      <c r="H12" s="25" t="n">
        <v>0</v>
      </c>
      <c r="I12" s="22" t="s">
        <v>228</v>
      </c>
    </row>
    <row r="13" customFormat="false" ht="15" hidden="false" customHeight="true" outlineLevel="0" collapsed="false"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  <c r="H15" s="22"/>
      <c r="I15" s="22"/>
    </row>
    <row r="17" customFormat="false" ht="15" hidden="false" customHeight="true" outlineLevel="0" collapsed="false">
      <c r="B17" s="16" t="s">
        <v>229</v>
      </c>
      <c r="C17" s="24" t="n">
        <f aca="false">SUMPRODUCT((B6:B12&lt;&gt;"")/COUNTIF(B6:B12,B6:B12&amp;""))</f>
        <v>7</v>
      </c>
    </row>
    <row r="18" customFormat="false" ht="15" hidden="false" customHeight="true" outlineLevel="0" collapsed="false">
      <c r="B18" s="16" t="s">
        <v>230</v>
      </c>
      <c r="C18" s="24" t="n">
        <f aca="false">COUNTIF(G6:G12,"Yes")</f>
        <v>5</v>
      </c>
    </row>
    <row r="19" customFormat="false" ht="15" hidden="false" customHeight="true" outlineLevel="0" collapsed="false">
      <c r="B19" s="16" t="s">
        <v>231</v>
      </c>
      <c r="C19" s="24" t="n">
        <f aca="false">SUM(H6:H12)</f>
        <v>940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8"/>
  </cols>
  <sheetData>
    <row r="2" customFormat="false" ht="24" hidden="false" customHeight="true" outlineLevel="0" collapsed="false">
      <c r="B2" s="2" t="s">
        <v>232</v>
      </c>
      <c r="C2" s="2"/>
      <c r="D2" s="2"/>
      <c r="E2" s="2"/>
      <c r="F2" s="2"/>
      <c r="G2" s="2"/>
    </row>
    <row r="3" customFormat="false" ht="30" hidden="false" customHeight="true" outlineLevel="0" collapsed="false">
      <c r="B3" s="3" t="s">
        <v>233</v>
      </c>
      <c r="C3" s="3"/>
      <c r="D3" s="3"/>
      <c r="E3" s="3"/>
      <c r="F3" s="3"/>
      <c r="G3" s="3"/>
    </row>
    <row r="5" customFormat="false" ht="31.5" hidden="false" customHeight="true" outlineLevel="0" collapsed="false">
      <c r="B5" s="7" t="s">
        <v>234</v>
      </c>
      <c r="C5" s="7" t="s">
        <v>29</v>
      </c>
      <c r="D5" s="7" t="s">
        <v>203</v>
      </c>
      <c r="E5" s="7" t="s">
        <v>235</v>
      </c>
      <c r="F5" s="7" t="s">
        <v>236</v>
      </c>
      <c r="G5" s="7" t="s">
        <v>237</v>
      </c>
    </row>
    <row r="6" customFormat="false" ht="23.25" hidden="false" customHeight="true" outlineLevel="0" collapsed="false">
      <c r="B6" s="25" t="s">
        <v>238</v>
      </c>
      <c r="C6" s="22" t="s">
        <v>39</v>
      </c>
      <c r="D6" s="22" t="s">
        <v>239</v>
      </c>
      <c r="E6" s="22" t="s">
        <v>240</v>
      </c>
      <c r="F6" s="25" t="s">
        <v>241</v>
      </c>
      <c r="G6" s="23" t="n">
        <v>1200</v>
      </c>
    </row>
    <row r="7" customFormat="false" ht="23.25" hidden="false" customHeight="true" outlineLevel="0" collapsed="false">
      <c r="B7" s="25" t="s">
        <v>242</v>
      </c>
      <c r="C7" s="22" t="s">
        <v>41</v>
      </c>
      <c r="D7" s="22" t="s">
        <v>243</v>
      </c>
      <c r="E7" s="22" t="s">
        <v>244</v>
      </c>
      <c r="F7" s="25" t="s">
        <v>245</v>
      </c>
      <c r="G7" s="23" t="n">
        <v>3500</v>
      </c>
    </row>
    <row r="8" customFormat="false" ht="15" hidden="false" customHeight="true" outlineLevel="0" collapsed="false">
      <c r="B8" s="25" t="s">
        <v>246</v>
      </c>
      <c r="C8" s="22" t="s">
        <v>42</v>
      </c>
      <c r="D8" s="22" t="s">
        <v>247</v>
      </c>
      <c r="E8" s="22" t="s">
        <v>248</v>
      </c>
      <c r="F8" s="25" t="s">
        <v>249</v>
      </c>
      <c r="G8" s="23" t="n">
        <v>850</v>
      </c>
    </row>
    <row r="9" customFormat="false" ht="15" hidden="false" customHeight="true" outlineLevel="0" collapsed="false">
      <c r="B9" s="25" t="s">
        <v>250</v>
      </c>
      <c r="C9" s="22" t="s">
        <v>43</v>
      </c>
      <c r="D9" s="22" t="s">
        <v>251</v>
      </c>
      <c r="E9" s="22" t="s">
        <v>252</v>
      </c>
      <c r="F9" s="25" t="s">
        <v>253</v>
      </c>
      <c r="G9" s="23" t="n">
        <v>600</v>
      </c>
    </row>
    <row r="10" customFormat="false" ht="15" hidden="false" customHeight="true" outlineLevel="0" collapsed="false">
      <c r="B10" s="25" t="s">
        <v>254</v>
      </c>
      <c r="C10" s="22" t="s">
        <v>44</v>
      </c>
      <c r="D10" s="22" t="s">
        <v>255</v>
      </c>
      <c r="E10" s="22" t="s">
        <v>256</v>
      </c>
      <c r="F10" s="25" t="s">
        <v>257</v>
      </c>
      <c r="G10" s="23" t="n">
        <v>320</v>
      </c>
    </row>
    <row r="11" customFormat="false" ht="15" hidden="false" customHeight="true" outlineLevel="0" collapsed="false">
      <c r="B11" s="25" t="s">
        <v>258</v>
      </c>
      <c r="C11" s="22" t="s">
        <v>39</v>
      </c>
      <c r="D11" s="22" t="s">
        <v>259</v>
      </c>
      <c r="E11" s="22" t="s">
        <v>260</v>
      </c>
      <c r="F11" s="25" t="s">
        <v>261</v>
      </c>
      <c r="G11" s="23" t="n">
        <v>95</v>
      </c>
    </row>
    <row r="12" customFormat="false" ht="15" hidden="false" customHeight="true" outlineLevel="0" collapsed="false">
      <c r="B12" s="25" t="s">
        <v>262</v>
      </c>
      <c r="C12" s="22" t="s">
        <v>47</v>
      </c>
      <c r="D12" s="22" t="s">
        <v>263</v>
      </c>
      <c r="E12" s="22" t="s">
        <v>240</v>
      </c>
      <c r="F12" s="25" t="s">
        <v>241</v>
      </c>
      <c r="G12" s="23" t="n">
        <v>210</v>
      </c>
    </row>
    <row r="13" customFormat="false" ht="15" hidden="false" customHeight="true" outlineLevel="0" collapsed="false">
      <c r="B13" s="25" t="s">
        <v>264</v>
      </c>
      <c r="C13" s="22" t="s">
        <v>41</v>
      </c>
      <c r="D13" s="22" t="s">
        <v>265</v>
      </c>
      <c r="E13" s="22" t="s">
        <v>244</v>
      </c>
      <c r="F13" s="25" t="s">
        <v>245</v>
      </c>
      <c r="G13" s="23" t="n">
        <v>1400</v>
      </c>
    </row>
    <row r="14" customFormat="false" ht="15" hidden="false" customHeight="true" outlineLevel="0" collapsed="false">
      <c r="B14" s="22"/>
      <c r="C14" s="22"/>
      <c r="D14" s="22"/>
      <c r="E14" s="22"/>
      <c r="F14" s="22"/>
      <c r="G14" s="22"/>
    </row>
    <row r="15" customFormat="false" ht="15" hidden="false" customHeight="true" outlineLevel="0" collapsed="false">
      <c r="B15" s="22"/>
      <c r="C15" s="22"/>
      <c r="D15" s="22"/>
      <c r="E15" s="22"/>
      <c r="F15" s="22"/>
      <c r="G15" s="22"/>
    </row>
    <row r="16" customFormat="false" ht="15" hidden="false" customHeight="true" outlineLevel="0" collapsed="false">
      <c r="B16" s="22"/>
      <c r="C16" s="22"/>
      <c r="D16" s="22"/>
      <c r="E16" s="22"/>
      <c r="F16" s="22"/>
      <c r="G16" s="22"/>
    </row>
    <row r="18" customFormat="false" ht="15" hidden="false" customHeight="true" outlineLevel="0" collapsed="false">
      <c r="B18" s="16" t="s">
        <v>266</v>
      </c>
      <c r="C18" s="24" t="n">
        <f aca="false">COUNTA(B6:B13)</f>
        <v>8</v>
      </c>
    </row>
    <row r="19" customFormat="false" ht="15" hidden="false" customHeight="true" outlineLevel="0" collapsed="false">
      <c r="B19" s="16" t="s">
        <v>267</v>
      </c>
      <c r="C19" s="24" t="n">
        <f aca="false">COUNTIF(E6:E13,"*Collection Drive*")</f>
        <v>3</v>
      </c>
    </row>
    <row r="20" customFormat="false" ht="15" hidden="false" customHeight="true" outlineLevel="0" collapsed="false">
      <c r="B20" s="16" t="s">
        <v>268</v>
      </c>
      <c r="C20" s="24" t="n">
        <f aca="false">SUM(G6:G13)</f>
        <v>8175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D7E379C1-C902-45B3-9606-0040842BE249}"/>
</file>

<file path=customXml/itemProps2.xml><?xml version="1.0" encoding="utf-8"?>
<ds:datastoreItem xmlns:ds="http://schemas.openxmlformats.org/officeDocument/2006/customXml" ds:itemID="{7D4B4744-8C33-416B-BAEB-EF7A897C3CBF}"/>
</file>

<file path=customXml/itemProps3.xml><?xml version="1.0" encoding="utf-8"?>
<ds:datastoreItem xmlns:ds="http://schemas.openxmlformats.org/officeDocument/2006/customXml" ds:itemID="{41BBE147-1D69-46E0-A6D7-9D1098B49FB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2026-07-20T09:05:32Z</dcterms:created>
  <dcterms:modified xsi:type="dcterms:W3CDTF">2026-07-20T09:44:39Z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